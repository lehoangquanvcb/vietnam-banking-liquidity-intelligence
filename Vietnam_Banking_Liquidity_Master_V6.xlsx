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7e62cc6f0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ecb58a8e164a89"/>
    <x:sheet xmlns:r="http://schemas.openxmlformats.org/officeDocument/2006/relationships" name="BANK_UNIVERSE" sheetId="2" r:id="R5c5d75cee5eb4643"/>
    <x:sheet xmlns:r="http://schemas.openxmlformats.org/officeDocument/2006/relationships" name="BANK_ACTUALS" sheetId="3" r:id="R59ddcf1e432c4b3a"/>
    <x:sheet xmlns:r="http://schemas.openxmlformats.org/officeDocument/2006/relationships" name="BANK_SCORE" sheetId="4" r:id="Ra3d17fb501984e4b"/>
    <x:sheet xmlns:r="http://schemas.openxmlformats.org/officeDocument/2006/relationships" name="MODEL_PARAMETERS" sheetId="5" r:id="Re42ff9fd5c194a54"/>
    <x:sheet xmlns:r="http://schemas.openxmlformats.org/officeDocument/2006/relationships" name="SCENARIOS" sheetId="6" r:id="R2501a0555cd54385"/>
    <x:sheet xmlns:r="http://schemas.openxmlformats.org/officeDocument/2006/relationships" name="DASHBOARD" sheetId="7" r:id="R0b609284a1da4354"/>
    <x:sheet xmlns:r="http://schemas.openxmlformats.org/officeDocument/2006/relationships" name="SOURCES" sheetId="8" r:id="R97427839efb4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fecfdffad4fa2" /><Relationship Type="http://schemas.openxmlformats.org/officeDocument/2006/relationships/theme" Target="/xl/theme/theme1.xml" Id="Re8388142c0f64500" /><Relationship Type="http://schemas.microsoft.com/office/2022/11/relationships/FeaturePropertyBag" Target="/xl/featurePropertyBag/featurePropertyBag.xml" Id="R011676abe9fd49dd" /><Relationship Type="http://schemas.openxmlformats.org/officeDocument/2006/relationships/sharedStrings" Target="/xl/sharedStrings.xml" Id="Rd60dca4b4858476b" /><Relationship Type="http://schemas.openxmlformats.org/officeDocument/2006/relationships/worksheet" Target="/xl/worksheets/sheet1.xml" Id="R2fecb58a8e164a89" /><Relationship Type="http://schemas.openxmlformats.org/officeDocument/2006/relationships/worksheet" Target="/xl/worksheets/sheet2.xml" Id="R5c5d75cee5eb4643" /><Relationship Type="http://schemas.openxmlformats.org/officeDocument/2006/relationships/worksheet" Target="/xl/worksheets/sheet3.xml" Id="R59ddcf1e432c4b3a" /><Relationship Type="http://schemas.openxmlformats.org/officeDocument/2006/relationships/worksheet" Target="/xl/worksheets/sheet4.xml" Id="Ra3d17fb501984e4b" /><Relationship Type="http://schemas.openxmlformats.org/officeDocument/2006/relationships/worksheet" Target="/xl/worksheets/sheet5.xml" Id="Re42ff9fd5c194a54" /><Relationship Type="http://schemas.openxmlformats.org/officeDocument/2006/relationships/worksheet" Target="/xl/worksheets/sheet6.xml" Id="R2501a0555cd54385" /><Relationship Type="http://schemas.openxmlformats.org/officeDocument/2006/relationships/worksheet" Target="/xl/worksheets/sheet7.xml" Id="R0b609284a1da4354" /><Relationship Type="http://schemas.openxmlformats.org/officeDocument/2006/relationships/worksheet" Target="/xl/worksheets/sheet8.xml" Id="R97427839efb448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9c9ce1e00b48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Bank Liquidity Stress Vulnerability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Period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'BANK_SCORE'!$B$4:$B$23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LDR %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'BANK_SCORE'!$C$4:$C$23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CASA %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'BANK_SCORE'!$D$4:$D$23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Interbank Dependence %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'BANK_SCORE'!$E$4:$E$23</c:f>
              <c:numCache>
                <c:formatCode>0.00%</c:formatCode>
                <c:ptCount val="0"/>
              </c:numCache>
            </c:numRef>
          </c:val>
        </c:ser>
        <c:ser>
          <c:idx val="4"/>
          <c:order val="4"/>
          <c:tx>
            <c:v>Credit-Deposit Gap %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'BANK_SCORE'!$F$4:$F$23</c:f>
              <c:numCache>
                <c:formatCode>0.00%</c:formatCode>
                <c:ptCount val="0"/>
              </c:numCache>
            </c:numRef>
          </c:val>
        </c:ser>
        <c:ser>
          <c:idx val="5"/>
          <c:order val="5"/>
          <c:tx>
            <c:v>NIM %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'BANK_SCORE'!$G$4:$G$23</c:f>
              <c:numCache>
                <c:formatCode>0.00%</c:formatCode>
                <c:ptCount val="0"/>
              </c:numCache>
            </c:numRef>
          </c:val>
        </c:ser>
        <c:ser>
          <c:idx val="6"/>
          <c:order val="6"/>
          <c:tx>
            <c:v>Liquidity Buffer %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'BANK_SCORE'!$H$4:$H$23</c:f>
              <c:numCache>
                <c:formatCode>0.00%</c:formatCode>
                <c:ptCount val="0"/>
              </c:numCache>
            </c:numRef>
          </c:val>
        </c:ser>
        <c:ser>
          <c:idx val="7"/>
          <c:order val="7"/>
          <c:tx>
            <c:v>Data Coverage %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'BANK_SCORE'!$I$4:$I$23</c:f>
              <c:numCache>
                <c:formatCode>0.00%</c:formatCode>
                <c:ptCount val="0"/>
              </c:numCache>
            </c:numRef>
          </c:val>
        </c:ser>
        <c:ser>
          <c:idx val="8"/>
          <c:order val="8"/>
          <c:tx>
            <c:v>Base Vulnerability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'BANK_SCORE'!$J$4:$J$23</c:f>
              <c:numCache>
                <c:formatCode>0.0</c:formatCode>
                <c:ptCount val="0"/>
              </c:numCache>
            </c:numRef>
          </c:val>
        </c:ser>
        <c:ser>
          <c:idx val="9"/>
          <c:order val="9"/>
          <c:tx>
            <c:v>System Stress Multiplier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'BANK_SCORE'!$K$4:$K$23</c:f>
              <c:numCache>
                <c:formatCode>0.0</c:formatCode>
                <c:ptCount val="0"/>
              </c:numCache>
            </c:numRef>
          </c:val>
        </c:ser>
        <c:ser>
          <c:idx val="10"/>
          <c:order val="10"/>
          <c:tx>
            <c:v>Stress Vulnerability</c:v>
          </c:tx>
          <c:cat>
            <c:strRef>
              <c:f>'BANK_SCORE'!$A$4:$A$23</c:f>
              <c:strCache>
                <c:ptCount val="0"/>
              </c:strCache>
            </c:strRef>
          </c:cat>
          <c:val>
            <c:numRef>
              <c:f>'BANK_SCORE'!$L$4:$L$23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9c9ce1e00b48d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7a7cf6cf9664cc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6" hidden="0" customWidth="1"/>
  </x:cols>
  <x:sheetData>
    <x:row r="1" ht="28" customHeight="1">
      <x:c r="A1" s="14" t="str">
        <x:v>VIETNAM MONETARY &amp; BANKING LIQUIDITY INTELLIGENCE — V6</x:v>
      </x:c>
      <x:c r="B1" s="14"/>
      <x:c r="C1" s="4"/>
      <x:c r="D1" s="4"/>
      <x:c r="E1" s="4"/>
      <x:c r="F1" s="4"/>
      <x:c r="G1" s="4"/>
      <x:c r="H1" s="4"/>
      <x:c r="I1" s="4"/>
    </x:row>
    <x:row r="3">
      <x:c r="A3" s="10" t="str">
        <x:v>Hạng mục</x:v>
      </x:c>
      <x:c r="B3" s="10" t="str">
        <x:v>Nội dung</x:v>
      </x:c>
    </x:row>
    <x:row r="4">
      <x:c r="A4" t="str">
        <x:v>Mục tiêu</x:v>
      </x:c>
      <x:c r="B4" t="str">
        <x:v>Nối stress thanh khoản hệ thống với mức độ tổn thương thanh khoản của từng ngân hàng.</x:v>
      </x:c>
    </x:row>
    <x:row r="5">
      <x:c r="A5" t="str">
        <x:v>Data policy</x:v>
      </x:c>
      <x:c r="B5" t="str">
        <x:v>REAL-DATA FIRST; không synthetic-fill production history.</x:v>
      </x:c>
    </x:row>
    <x:row r="6">
      <x:c r="A6" t="str">
        <x:v>Bank data</x:v>
      </x:c>
      <x:c r="B6" t="str">
        <x:v>Vnstock Fundamental: balance sheet / income statement / cash flow / financial ratios theo ngân hàng.</x:v>
      </x:c>
    </x:row>
    <x:row r="7">
      <x:c r="A7" t="str">
        <x:v>System data</x:v>
      </x:c>
      <x:c r="B7" t="str">
        <x:v>Vnstock Macro: OMO / interbank / FX / policy rate / M2 / credit / CPI / budget.</x:v>
      </x:c>
    </x:row>
    <x:row r="8">
      <x:c r="A8" t="str">
        <x:v>Bank engine</x:v>
      </x:c>
      <x:c r="B8" t="str">
        <x:v>Tính CASA proxy, LDR proxy, wholesale/interbank dependence, deposit-credit gap, NIM buffer, liquidity buffer.</x:v>
      </x:c>
    </x:row>
    <x:row r="9">
      <x:c r="A9" t="str">
        <x:v>Stress transmission</x:v>
      </x:c>
      <x:c r="B9" t="str">
        <x:v>System LPI/ON shock → funding cost → NIM pressure → vulnerability score.</x:v>
      </x:c>
    </x:row>
    <x:row r="10">
      <x:c r="A10" t="str">
        <x:v>Outputs</x:v>
      </x:c>
      <x:c r="B10" t="str">
        <x:v>Bank ranking, heatmap, stressed NIM, stressed funding cost, rating watch flag.</x:v>
      </x:c>
    </x:row>
    <x:row r="11">
      <x:c r="A11" t="str">
        <x:v>Validation</x:v>
      </x:c>
      <x:c r="B11" t="str">
        <x:v>Input coverage %, data lineage, missing-field penalty, production gates.</x:v>
      </x:c>
    </x:row>
    <x:row r="12">
      <x:c r="A12" t="str">
        <x:v>Sponsor</x:v>
      </x:c>
      <x:c r="B12" t="str">
        <x:v>Tối ưu cho Vnstock Bronze Sponsor qua incremental refresh + local cache.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34" hidden="0" customWidth="1"/>
    <x:col min="8" max="8" width="18" hidden="0" customWidth="1"/>
  </x:cols>
  <x:sheetData>
    <x:row r="1" ht="28" customHeight="1">
      <x:c r="A1" s="4" t="str">
        <x:v>BANK UNIVERSE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Ticker</x:v>
      </x:c>
      <x:c r="B3" s="10" t="str">
        <x:v>Bank</x:v>
      </x:c>
      <x:c r="C3" s="10" t="str">
        <x:v>Include</x:v>
      </x:c>
      <x:c r="D3" s="10" t="str">
        <x:v>Data Source</x:v>
      </x:c>
      <x:c r="E3" s="10" t="str">
        <x:v>Type</x:v>
      </x:c>
      <x:c r="F3" s="10" t="str">
        <x:v>Priority</x:v>
      </x:c>
      <x:c r="G3" s="10" t="str">
        <x:v>Notes</x:v>
      </x:c>
      <x:c r="H3" s="10" t="str">
        <x:v>Last Refresh</x:v>
      </x:c>
    </x:row>
    <x:row r="4">
      <x:c r="A4" t="str">
        <x:v>VCB</x:v>
      </x:c>
      <x:c r="B4" t="str"/>
      <x:c r="C4" s="16" t="b">
        <x:v>1</x:v>
      </x:c>
      <x:c r="D4" t="str">
        <x:v>Vnstock Fundamental</x:v>
      </x:c>
      <x:c r="E4" t="str">
        <x:v>ACTUAL</x:v>
      </x:c>
      <x:c r="F4" t="str">
        <x:v>Core</x:v>
      </x:c>
      <x:c r="G4" t="str"/>
      <x:c r="H4" t="str"/>
    </x:row>
    <x:row r="5">
      <x:c r="A5" t="str">
        <x:v>BID</x:v>
      </x:c>
      <x:c r="B5" t="str"/>
      <x:c r="C5" s="16" t="b">
        <x:v>1</x:v>
      </x:c>
      <x:c r="D5" t="str">
        <x:v>Vnstock Fundamental</x:v>
      </x:c>
      <x:c r="E5" t="str">
        <x:v>ACTUAL</x:v>
      </x:c>
      <x:c r="F5" t="str">
        <x:v>Core</x:v>
      </x:c>
      <x:c r="G5" t="str"/>
      <x:c r="H5" t="str"/>
    </x:row>
    <x:row r="6">
      <x:c r="A6" t="str">
        <x:v>CTG</x:v>
      </x:c>
      <x:c r="B6" t="str"/>
      <x:c r="C6" s="16" t="b">
        <x:v>1</x:v>
      </x:c>
      <x:c r="D6" t="str">
        <x:v>Vnstock Fundamental</x:v>
      </x:c>
      <x:c r="E6" t="str">
        <x:v>ACTUAL</x:v>
      </x:c>
      <x:c r="F6" t="str">
        <x:v>Core</x:v>
      </x:c>
      <x:c r="G6" t="str"/>
      <x:c r="H6" t="str"/>
    </x:row>
    <x:row r="7">
      <x:c r="A7" t="str">
        <x:v>TCB</x:v>
      </x:c>
      <x:c r="B7" t="str"/>
      <x:c r="C7" s="16" t="b">
        <x:v>1</x:v>
      </x:c>
      <x:c r="D7" t="str">
        <x:v>Vnstock Fundamental</x:v>
      </x:c>
      <x:c r="E7" t="str">
        <x:v>ACTUAL</x:v>
      </x:c>
      <x:c r="F7" t="str">
        <x:v>Core</x:v>
      </x:c>
      <x:c r="G7" t="str"/>
      <x:c r="H7" t="str"/>
    </x:row>
    <x:row r="8">
      <x:c r="A8" t="str">
        <x:v>MBB</x:v>
      </x:c>
      <x:c r="B8" t="str"/>
      <x:c r="C8" s="16" t="b">
        <x:v>1</x:v>
      </x:c>
      <x:c r="D8" t="str">
        <x:v>Vnstock Fundamental</x:v>
      </x:c>
      <x:c r="E8" t="str">
        <x:v>ACTUAL</x:v>
      </x:c>
      <x:c r="F8" t="str">
        <x:v>Core</x:v>
      </x:c>
      <x:c r="G8" t="str"/>
      <x:c r="H8" t="str"/>
    </x:row>
    <x:row r="9">
      <x:c r="A9" t="str">
        <x:v>ACB</x:v>
      </x:c>
      <x:c r="B9" t="str"/>
      <x:c r="C9" s="16" t="b">
        <x:v>1</x:v>
      </x:c>
      <x:c r="D9" t="str">
        <x:v>Vnstock Fundamental</x:v>
      </x:c>
      <x:c r="E9" t="str">
        <x:v>ACTUAL</x:v>
      </x:c>
      <x:c r="F9" t="str">
        <x:v>Core</x:v>
      </x:c>
      <x:c r="G9" t="str"/>
      <x:c r="H9" t="str"/>
    </x:row>
    <x:row r="10">
      <x:c r="A10" t="str">
        <x:v>HDB</x:v>
      </x:c>
      <x:c r="B10" t="str"/>
      <x:c r="C10" s="16" t="b">
        <x:v>1</x:v>
      </x:c>
      <x:c r="D10" t="str">
        <x:v>Vnstock Fundamental</x:v>
      </x:c>
      <x:c r="E10" t="str">
        <x:v>ACTUAL</x:v>
      </x:c>
      <x:c r="F10" t="str">
        <x:v>Core</x:v>
      </x:c>
      <x:c r="G10" t="str"/>
      <x:c r="H10" t="str"/>
    </x:row>
    <x:row r="11">
      <x:c r="A11" t="str">
        <x:v>VPB</x:v>
      </x:c>
      <x:c r="B11" t="str"/>
      <x:c r="C11" s="16" t="b">
        <x:v>1</x:v>
      </x:c>
      <x:c r="D11" t="str">
        <x:v>Vnstock Fundamental</x:v>
      </x:c>
      <x:c r="E11" t="str">
        <x:v>ACTUAL</x:v>
      </x:c>
      <x:c r="F11" t="str">
        <x:v>Core</x:v>
      </x:c>
      <x:c r="G11" t="str"/>
      <x:c r="H11" t="str"/>
    </x:row>
    <x:row r="12">
      <x:c r="A12" t="str">
        <x:v>STB</x:v>
      </x:c>
      <x:c r="B12" t="str"/>
      <x:c r="C12" s="16" t="b">
        <x:v>1</x:v>
      </x:c>
      <x:c r="D12" t="str">
        <x:v>Vnstock Fundamental</x:v>
      </x:c>
      <x:c r="E12" t="str">
        <x:v>ACTUAL</x:v>
      </x:c>
      <x:c r="F12" t="str">
        <x:v>Core</x:v>
      </x:c>
      <x:c r="G12" t="str"/>
      <x:c r="H12" t="str"/>
    </x:row>
    <x:row r="13">
      <x:c r="A13" t="str">
        <x:v>VIB</x:v>
      </x:c>
      <x:c r="B13" t="str"/>
      <x:c r="C13" s="16" t="b">
        <x:v>1</x:v>
      </x:c>
      <x:c r="D13" t="str">
        <x:v>Vnstock Fundamental</x:v>
      </x:c>
      <x:c r="E13" t="str">
        <x:v>ACTUAL</x:v>
      </x:c>
      <x:c r="F13" t="str">
        <x:v>Core</x:v>
      </x:c>
      <x:c r="G13" t="str"/>
      <x:c r="H13" t="str"/>
    </x:row>
    <x:row r="14">
      <x:c r="A14" t="str">
        <x:v>SHB</x:v>
      </x:c>
      <x:c r="B14" t="str"/>
      <x:c r="C14" s="16" t="b">
        <x:v>1</x:v>
      </x:c>
      <x:c r="D14" t="str">
        <x:v>Vnstock Fundamental</x:v>
      </x:c>
      <x:c r="E14" t="str">
        <x:v>ACTUAL</x:v>
      </x:c>
      <x:c r="F14" t="str">
        <x:v>Core</x:v>
      </x:c>
      <x:c r="G14" t="str"/>
      <x:c r="H14" t="str"/>
    </x:row>
    <x:row r="15">
      <x:c r="A15" t="str">
        <x:v>TPB</x:v>
      </x:c>
      <x:c r="B15" t="str"/>
      <x:c r="C15" s="16" t="b">
        <x:v>1</x:v>
      </x:c>
      <x:c r="D15" t="str">
        <x:v>Vnstock Fundamental</x:v>
      </x:c>
      <x:c r="E15" t="str">
        <x:v>ACTUAL</x:v>
      </x:c>
      <x:c r="F15" t="str">
        <x:v>Core</x:v>
      </x:c>
      <x:c r="G15" t="str"/>
      <x:c r="H15" t="str"/>
    </x:row>
    <x:row r="16">
      <x:c r="A16" t="str">
        <x:v>LPB</x:v>
      </x:c>
      <x:c r="B16" t="str"/>
      <x:c r="C16" s="16" t="b">
        <x:v>1</x:v>
      </x:c>
      <x:c r="D16" t="str">
        <x:v>Vnstock Fundamental</x:v>
      </x:c>
      <x:c r="E16" t="str">
        <x:v>ACTUAL</x:v>
      </x:c>
      <x:c r="F16" t="str">
        <x:v>Core</x:v>
      </x:c>
      <x:c r="G16" t="str"/>
      <x:c r="H16" t="str"/>
    </x:row>
    <x:row r="17">
      <x:c r="A17" t="str">
        <x:v>OCB</x:v>
      </x:c>
      <x:c r="B17" t="str"/>
      <x:c r="C17" s="16" t="b">
        <x:v>1</x:v>
      </x:c>
      <x:c r="D17" t="str">
        <x:v>Vnstock Fundamental</x:v>
      </x:c>
      <x:c r="E17" t="str">
        <x:v>ACTUAL</x:v>
      </x:c>
      <x:c r="F17" t="str">
        <x:v>Core</x:v>
      </x:c>
      <x:c r="G17" t="str"/>
      <x:c r="H17" t="str"/>
    </x:row>
    <x:row r="18">
      <x:c r="A18" t="str">
        <x:v>MSB</x:v>
      </x:c>
      <x:c r="B18" t="str"/>
      <x:c r="C18" s="16" t="b">
        <x:v>1</x:v>
      </x:c>
      <x:c r="D18" t="str">
        <x:v>Vnstock Fundamental</x:v>
      </x:c>
      <x:c r="E18" t="str">
        <x:v>ACTUAL</x:v>
      </x:c>
      <x:c r="F18" t="str">
        <x:v>Core</x:v>
      </x:c>
      <x:c r="G18" t="str"/>
      <x:c r="H18" t="str"/>
    </x:row>
    <x:row r="19">
      <x:c r="A19" t="str">
        <x:v>SSB</x:v>
      </x:c>
      <x:c r="B19" t="str"/>
      <x:c r="C19" s="16" t="b">
        <x:v>1</x:v>
      </x:c>
      <x:c r="D19" t="str">
        <x:v>Vnstock Fundamental</x:v>
      </x:c>
      <x:c r="E19" t="str">
        <x:v>ACTUAL</x:v>
      </x:c>
      <x:c r="F19" t="str">
        <x:v>Core</x:v>
      </x:c>
      <x:c r="G19" t="str"/>
      <x:c r="H19" t="str"/>
    </x:row>
    <x:row r="20">
      <x:c r="A20" t="str">
        <x:v>EIB</x:v>
      </x:c>
      <x:c r="B20" t="str"/>
      <x:c r="C20" s="16" t="b">
        <x:v>1</x:v>
      </x:c>
      <x:c r="D20" t="str">
        <x:v>Vnstock Fundamental</x:v>
      </x:c>
      <x:c r="E20" t="str">
        <x:v>ACTUAL</x:v>
      </x:c>
      <x:c r="F20" t="str">
        <x:v>Core</x:v>
      </x:c>
      <x:c r="G20" t="str"/>
      <x:c r="H20" t="str"/>
    </x:row>
    <x:row r="21">
      <x:c r="A21" t="str">
        <x:v>NAB</x:v>
      </x:c>
      <x:c r="B21" t="str"/>
      <x:c r="C21" s="16" t="b">
        <x:v>1</x:v>
      </x:c>
      <x:c r="D21" t="str">
        <x:v>Vnstock Fundamental</x:v>
      </x:c>
      <x:c r="E21" t="str">
        <x:v>ACTUAL</x:v>
      </x:c>
      <x:c r="F21" t="str">
        <x:v>Core</x:v>
      </x:c>
      <x:c r="G21" t="str"/>
      <x:c r="H21" t="str"/>
    </x:row>
    <x:row r="22">
      <x:c r="A22" t="str">
        <x:v>KLB</x:v>
      </x:c>
      <x:c r="B22" t="str"/>
      <x:c r="C22" s="16" t="b">
        <x:v>1</x:v>
      </x:c>
      <x:c r="D22" t="str">
        <x:v>Vnstock Fundamental</x:v>
      </x:c>
      <x:c r="E22" t="str">
        <x:v>ACTUAL</x:v>
      </x:c>
      <x:c r="F22" t="str">
        <x:v>Core</x:v>
      </x:c>
      <x:c r="G22" t="str"/>
      <x:c r="H22" t="str"/>
    </x:row>
    <x:row r="23">
      <x:c r="A23" t="str">
        <x:v>BAB</x:v>
      </x:c>
      <x:c r="B23" t="str"/>
      <x:c r="C23" s="16" t="b">
        <x:v>1</x:v>
      </x:c>
      <x:c r="D23" t="str">
        <x:v>Vnstock Fundamental</x:v>
      </x:c>
      <x:c r="E23" t="str">
        <x:v>ACTUAL</x:v>
      </x:c>
      <x:c r="F23" t="str">
        <x:v>Core</x:v>
      </x:c>
      <x:c r="G23" t="str"/>
      <x:c r="H23" t="str"/>
    </x:row>
  </x:sheetData>
  <x:mergeCells>
    <x:mergeCell ref="A1:H1"/>
  </x:mergeCells>
  <x:dataValidations count="1">
    <x:dataValidation type="list" sqref="C4:C23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  <x:col min="11" max="11" width="12" hidden="0" customWidth="1"/>
    <x:col min="12" max="12" width="14" hidden="0" customWidth="1"/>
    <x:col min="13" max="13" width="14" hidden="0" customWidth="1"/>
    <x:col min="14" max="14" width="16" hidden="0" customWidth="1"/>
  </x:cols>
  <x:sheetData>
    <x:row r="1" ht="28" customHeight="1">
      <x:c r="A1" s="4" t="str">
        <x:v>BANK ACTUAL METRICS — Vnstock FIRST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0" t="str">
        <x:v>Ticker</x:v>
      </x:c>
      <x:c r="B3" s="10" t="str">
        <x:v>Period</x:v>
      </x:c>
      <x:c r="C3" s="10" t="str">
        <x:v>Total Assets</x:v>
      </x:c>
      <x:c r="D3" s="10" t="str">
        <x:v>Customer Loans</x:v>
      </x:c>
      <x:c r="E3" s="10" t="str">
        <x:v>Customer Deposits</x:v>
      </x:c>
      <x:c r="F3" s="10" t="str">
        <x:v>Interbank Borrowing</x:v>
      </x:c>
      <x:c r="G3" s="10" t="str">
        <x:v>Current Accounts</x:v>
      </x:c>
      <x:c r="H3" s="10" t="str">
        <x:v>Total Deposits</x:v>
      </x:c>
      <x:c r="I3" s="10" t="str">
        <x:v>Net Interest Income</x:v>
      </x:c>
      <x:c r="J3" s="10" t="str">
        <x:v>Average Earning Assets</x:v>
      </x:c>
      <x:c r="K3" s="10" t="str">
        <x:v>NIM</x:v>
      </x:c>
      <x:c r="L3" s="10" t="str">
        <x:v>LDR Proxy</x:v>
      </x:c>
      <x:c r="M3" s="10" t="str">
        <x:v>CASA Proxy</x:v>
      </x:c>
      <x:c r="N3" s="10" t="str">
        <x:v>Data Type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22" hidden="0" customWidth="1"/>
    <x:col min="6" max="6" width="20" hidden="0" customWidth="1"/>
    <x:col min="7" max="7" width="12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24" hidden="0" customWidth="1"/>
    <x:col min="14" max="14" width="16" hidden="0" customWidth="1"/>
    <x:col min="15" max="15" width="14" hidden="0" customWidth="1"/>
    <x:col min="16" max="16" width="14" hidden="0" customWidth="1"/>
  </x:cols>
  <x:sheetData>
    <x:row r="1" ht="28" customHeight="1">
      <x:c r="A1" s="4" t="str">
        <x:v>BANK-BY-BANK LIQUIDITY VULNERABILITY SCORE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0" t="str">
        <x:v>Ticker</x:v>
      </x:c>
      <x:c r="B3" s="10" t="str">
        <x:v>Period</x:v>
      </x:c>
      <x:c r="C3" s="10" t="str">
        <x:v>LDR %</x:v>
      </x:c>
      <x:c r="D3" s="10" t="str">
        <x:v>CASA %</x:v>
      </x:c>
      <x:c r="E3" s="10" t="str">
        <x:v>Interbank Dependence %</x:v>
      </x:c>
      <x:c r="F3" s="10" t="str">
        <x:v>Credit-Deposit Gap %</x:v>
      </x:c>
      <x:c r="G3" s="10" t="str">
        <x:v>NIM %</x:v>
      </x:c>
      <x:c r="H3" s="10" t="str">
        <x:v>Liquidity Buffer %</x:v>
      </x:c>
      <x:c r="I3" s="10" t="str">
        <x:v>Data Coverage %</x:v>
      </x:c>
      <x:c r="J3" s="10" t="str">
        <x:v>Base Vulnerability</x:v>
      </x:c>
      <x:c r="K3" s="10" t="str">
        <x:v>System Stress Multiplier</x:v>
      </x:c>
      <x:c r="L3" s="10" t="str">
        <x:v>Stress Vulnerability</x:v>
      </x:c>
      <x:c r="M3" s="10" t="str">
        <x:v>Stressed Funding Cost +ppt</x:v>
      </x:c>
      <x:c r="N3" s="10" t="str">
        <x:v>Stressed NIM %</x:v>
      </x:c>
      <x:c r="O3" s="10" t="str">
        <x:v>Watch Flag</x:v>
      </x:c>
      <x:c r="P3" s="10" t="str">
        <x:v>Data Type</x:v>
      </x:c>
    </x:row>
    <x:row r="4">
      <x:c r="A4" t="str">
        <x:v>VCB</x:v>
      </x:c>
      <x:c r="B4" t="str">
        <x:f>IFERROR(INDEX(BANK_ACTUALS!$B:$B,MATCH(A4,BANK_ACTUALS!$A:$A,0)),"")</x:f>
      </x:c>
      <x:c r="C4" s="18" t="str">
        <x:f>IFERROR(INDEX(BANK_ACTUALS!$L:$L,MATCH(A4,BANK_ACTUALS!$A:$A,0)),"")</x:f>
      </x:c>
      <x:c r="D4" s="18" t="str">
        <x:f>IFERROR(INDEX(BANK_ACTUALS!$M:$M,MATCH(A4,BANK_ACTUALS!$A:$A,0)),"")</x:f>
      </x:c>
      <x:c r="E4" s="18" t="str">
        <x:f>IFERROR(INDEX(BANK_ACTUALS!$F:$F,MATCH(A4,BANK_ACTUALS!$A:$A,0))/INDEX(BANK_ACTUALS!$C:$C,MATCH(A4,BANK_ACTUALS!$A:$A,0)),"")</x:f>
      </x:c>
      <x:c r="F4" s="18" t="str">
        <x:f>IFERROR((INDEX(BANK_ACTUALS!$D:$D,MATCH(A4,BANK_ACTUALS!$A:$A,0))-INDEX(BANK_ACTUALS!$E:$E,MATCH(A4,BANK_ACTUALS!$A:$A,0)))/INDEX(BANK_ACTUALS!$E:$E,MATCH(A4,BANK_ACTUALS!$A:$A,0)),"")</x:f>
      </x:c>
      <x:c r="G4" s="18" t="str">
        <x:f>IFERROR(INDEX(BANK_ACTUALS!$K:$K,MATCH(A4,BANK_ACTUALS!$A:$A,0)),"")</x:f>
      </x:c>
      <x:c r="H4" s="18" t="str">
        <x:f>IF(C4="","",1-C4)</x:f>
      </x:c>
      <x:c r="I4" s="18" t="n">
        <x:f>COUNT(C4:H4)/6</x:f>
        <x:v>0</x:v>
      </x:c>
      <x:c r="J4" s="20" t="str">
        <x:f>IF(I4&lt;0.5,"",MAX(0,MIN(100,50+35*(C4-0.85)-25*(D4-0.20)+45*E4+30*F4-10*(G4-0.03)-20*(H4-0.15))))</x:f>
      </x:c>
      <x:c r="K4" s="20" t="n">
        <x:f>MODEL_PARAMETERS!$B$6</x:f>
        <x:v>1.35</x:v>
      </x:c>
      <x:c r="L4" s="20" t="str">
        <x:f>IF(J4="","",MAX(0,MIN(100,J4*K4)))</x:f>
      </x:c>
      <x:c r="M4" s="22" t="str">
        <x:f>IF(L4="","",MODEL_PARAMETERS!$B$7*(L4/100))</x:f>
      </x:c>
      <x:c r="N4" s="18" t="str">
        <x:f>IF(G4="","",MAX(0,G4-M4/100))</x:f>
      </x:c>
      <x:c r="O4" t="str">
        <x:f>IF(L4="","",IF(OR(L4&gt;=MODEL_PARAMETERS!$B$8,N4&lt;0.02),"RED",IF(L4&gt;=MODEL_PARAMETERS!$B$9,"AMBER","GREEN")))</x:f>
      </x:c>
      <x:c r="P4" t="str">
        <x:v>CALC</x:v>
      </x:c>
    </x:row>
    <x:row r="5">
      <x:c r="A5" t="str">
        <x:v>BID</x:v>
      </x:c>
      <x:c r="B5" t="str">
        <x:f>IFERROR(INDEX(BANK_ACTUALS!$B:$B,MATCH(A5,BANK_ACTUALS!$A:$A,0)),"")</x:f>
      </x:c>
      <x:c r="C5" s="18" t="str">
        <x:f>IFERROR(INDEX(BANK_ACTUALS!$L:$L,MATCH(A5,BANK_ACTUALS!$A:$A,0)),"")</x:f>
      </x:c>
      <x:c r="D5" s="18" t="str">
        <x:f>IFERROR(INDEX(BANK_ACTUALS!$M:$M,MATCH(A5,BANK_ACTUALS!$A:$A,0)),"")</x:f>
      </x:c>
      <x:c r="E5" s="18" t="str">
        <x:f>IFERROR(INDEX(BANK_ACTUALS!$F:$F,MATCH(A5,BANK_ACTUALS!$A:$A,0))/INDEX(BANK_ACTUALS!$C:$C,MATCH(A5,BANK_ACTUALS!$A:$A,0)),"")</x:f>
      </x:c>
      <x:c r="F5" s="18" t="str">
        <x:f>IFERROR((INDEX(BANK_ACTUALS!$D:$D,MATCH(A5,BANK_ACTUALS!$A:$A,0))-INDEX(BANK_ACTUALS!$E:$E,MATCH(A5,BANK_ACTUALS!$A:$A,0)))/INDEX(BANK_ACTUALS!$E:$E,MATCH(A5,BANK_ACTUALS!$A:$A,0)),"")</x:f>
      </x:c>
      <x:c r="G5" s="18" t="str">
        <x:f>IFERROR(INDEX(BANK_ACTUALS!$K:$K,MATCH(A5,BANK_ACTUALS!$A:$A,0)),"")</x:f>
      </x:c>
      <x:c r="H5" s="18" t="str">
        <x:f>IF(C5="","",1-C5)</x:f>
      </x:c>
      <x:c r="I5" s="18" t="n">
        <x:f>COUNT(C5:H5)/6</x:f>
        <x:v>0</x:v>
      </x:c>
      <x:c r="J5" s="20" t="str">
        <x:f>IF(I5&lt;0.5,"",MAX(0,MIN(100,50+35*(C5-0.85)-25*(D5-0.20)+45*E5+30*F5-10*(G5-0.03)-20*(H5-0.15))))</x:f>
      </x:c>
      <x:c r="K5" s="20" t="n">
        <x:f>MODEL_PARAMETERS!$B$6</x:f>
        <x:v>1.35</x:v>
      </x:c>
      <x:c r="L5" s="20" t="str">
        <x:f>IF(J5="","",MAX(0,MIN(100,J5*K5)))</x:f>
      </x:c>
      <x:c r="M5" s="22" t="str">
        <x:f>IF(L5="","",MODEL_PARAMETERS!$B$7*(L5/100))</x:f>
      </x:c>
      <x:c r="N5" s="18" t="str">
        <x:f>IF(G5="","",MAX(0,G5-M5/100))</x:f>
      </x:c>
      <x:c r="O5" t="str">
        <x:f>IF(L5="","",IF(OR(L5&gt;=MODEL_PARAMETERS!$B$8,N5&lt;0.02),"RED",IF(L5&gt;=MODEL_PARAMETERS!$B$9,"AMBER","GREEN")))</x:f>
      </x:c>
      <x:c r="P5" t="str">
        <x:v>CALC</x:v>
      </x:c>
    </x:row>
    <x:row r="6">
      <x:c r="A6" t="str">
        <x:v>CTG</x:v>
      </x:c>
      <x:c r="B6" t="str">
        <x:f>IFERROR(INDEX(BANK_ACTUALS!$B:$B,MATCH(A6,BANK_ACTUALS!$A:$A,0)),"")</x:f>
      </x:c>
      <x:c r="C6" s="18" t="str">
        <x:f>IFERROR(INDEX(BANK_ACTUALS!$L:$L,MATCH(A6,BANK_ACTUALS!$A:$A,0)),"")</x:f>
      </x:c>
      <x:c r="D6" s="18" t="str">
        <x:f>IFERROR(INDEX(BANK_ACTUALS!$M:$M,MATCH(A6,BANK_ACTUALS!$A:$A,0)),"")</x:f>
      </x:c>
      <x:c r="E6" s="18" t="str">
        <x:f>IFERROR(INDEX(BANK_ACTUALS!$F:$F,MATCH(A6,BANK_ACTUALS!$A:$A,0))/INDEX(BANK_ACTUALS!$C:$C,MATCH(A6,BANK_ACTUALS!$A:$A,0)),"")</x:f>
      </x:c>
      <x:c r="F6" s="18" t="str">
        <x:f>IFERROR((INDEX(BANK_ACTUALS!$D:$D,MATCH(A6,BANK_ACTUALS!$A:$A,0))-INDEX(BANK_ACTUALS!$E:$E,MATCH(A6,BANK_ACTUALS!$A:$A,0)))/INDEX(BANK_ACTUALS!$E:$E,MATCH(A6,BANK_ACTUALS!$A:$A,0)),"")</x:f>
      </x:c>
      <x:c r="G6" s="18" t="str">
        <x:f>IFERROR(INDEX(BANK_ACTUALS!$K:$K,MATCH(A6,BANK_ACTUALS!$A:$A,0)),"")</x:f>
      </x:c>
      <x:c r="H6" s="18" t="str">
        <x:f>IF(C6="","",1-C6)</x:f>
      </x:c>
      <x:c r="I6" s="18" t="n">
        <x:f>COUNT(C6:H6)/6</x:f>
        <x:v>0</x:v>
      </x:c>
      <x:c r="J6" s="20" t="str">
        <x:f>IF(I6&lt;0.5,"",MAX(0,MIN(100,50+35*(C6-0.85)-25*(D6-0.20)+45*E6+30*F6-10*(G6-0.03)-20*(H6-0.15))))</x:f>
      </x:c>
      <x:c r="K6" s="20" t="n">
        <x:f>MODEL_PARAMETERS!$B$6</x:f>
        <x:v>1.35</x:v>
      </x:c>
      <x:c r="L6" s="20" t="str">
        <x:f>IF(J6="","",MAX(0,MIN(100,J6*K6)))</x:f>
      </x:c>
      <x:c r="M6" s="22" t="str">
        <x:f>IF(L6="","",MODEL_PARAMETERS!$B$7*(L6/100))</x:f>
      </x:c>
      <x:c r="N6" s="18" t="str">
        <x:f>IF(G6="","",MAX(0,G6-M6/100))</x:f>
      </x:c>
      <x:c r="O6" t="str">
        <x:f>IF(L6="","",IF(OR(L6&gt;=MODEL_PARAMETERS!$B$8,N6&lt;0.02),"RED",IF(L6&gt;=MODEL_PARAMETERS!$B$9,"AMBER","GREEN")))</x:f>
      </x:c>
      <x:c r="P6" t="str">
        <x:v>CALC</x:v>
      </x:c>
    </x:row>
    <x:row r="7">
      <x:c r="A7" t="str">
        <x:v>TCB</x:v>
      </x:c>
      <x:c r="B7" t="str">
        <x:f>IFERROR(INDEX(BANK_ACTUALS!$B:$B,MATCH(A7,BANK_ACTUALS!$A:$A,0)),"")</x:f>
      </x:c>
      <x:c r="C7" s="18" t="str">
        <x:f>IFERROR(INDEX(BANK_ACTUALS!$L:$L,MATCH(A7,BANK_ACTUALS!$A:$A,0)),"")</x:f>
      </x:c>
      <x:c r="D7" s="18" t="str">
        <x:f>IFERROR(INDEX(BANK_ACTUALS!$M:$M,MATCH(A7,BANK_ACTUALS!$A:$A,0)),"")</x:f>
      </x:c>
      <x:c r="E7" s="18" t="str">
        <x:f>IFERROR(INDEX(BANK_ACTUALS!$F:$F,MATCH(A7,BANK_ACTUALS!$A:$A,0))/INDEX(BANK_ACTUALS!$C:$C,MATCH(A7,BANK_ACTUALS!$A:$A,0)),"")</x:f>
      </x:c>
      <x:c r="F7" s="18" t="str">
        <x:f>IFERROR((INDEX(BANK_ACTUALS!$D:$D,MATCH(A7,BANK_ACTUALS!$A:$A,0))-INDEX(BANK_ACTUALS!$E:$E,MATCH(A7,BANK_ACTUALS!$A:$A,0)))/INDEX(BANK_ACTUALS!$E:$E,MATCH(A7,BANK_ACTUALS!$A:$A,0)),"")</x:f>
      </x:c>
      <x:c r="G7" s="18" t="str">
        <x:f>IFERROR(INDEX(BANK_ACTUALS!$K:$K,MATCH(A7,BANK_ACTUALS!$A:$A,0)),"")</x:f>
      </x:c>
      <x:c r="H7" s="18" t="str">
        <x:f>IF(C7="","",1-C7)</x:f>
      </x:c>
      <x:c r="I7" s="18" t="n">
        <x:f>COUNT(C7:H7)/6</x:f>
        <x:v>0</x:v>
      </x:c>
      <x:c r="J7" s="20" t="str">
        <x:f>IF(I7&lt;0.5,"",MAX(0,MIN(100,50+35*(C7-0.85)-25*(D7-0.20)+45*E7+30*F7-10*(G7-0.03)-20*(H7-0.15))))</x:f>
      </x:c>
      <x:c r="K7" s="20" t="n">
        <x:f>MODEL_PARAMETERS!$B$6</x:f>
        <x:v>1.35</x:v>
      </x:c>
      <x:c r="L7" s="20" t="str">
        <x:f>IF(J7="","",MAX(0,MIN(100,J7*K7)))</x:f>
      </x:c>
      <x:c r="M7" s="22" t="str">
        <x:f>IF(L7="","",MODEL_PARAMETERS!$B$7*(L7/100))</x:f>
      </x:c>
      <x:c r="N7" s="18" t="str">
        <x:f>IF(G7="","",MAX(0,G7-M7/100))</x:f>
      </x:c>
      <x:c r="O7" t="str">
        <x:f>IF(L7="","",IF(OR(L7&gt;=MODEL_PARAMETERS!$B$8,N7&lt;0.02),"RED",IF(L7&gt;=MODEL_PARAMETERS!$B$9,"AMBER","GREEN")))</x:f>
      </x:c>
      <x:c r="P7" t="str">
        <x:v>CALC</x:v>
      </x:c>
    </x:row>
    <x:row r="8">
      <x:c r="A8" t="str">
        <x:v>MBB</x:v>
      </x:c>
      <x:c r="B8" t="str">
        <x:f>IFERROR(INDEX(BANK_ACTUALS!$B:$B,MATCH(A8,BANK_ACTUALS!$A:$A,0)),"")</x:f>
      </x:c>
      <x:c r="C8" s="18" t="str">
        <x:f>IFERROR(INDEX(BANK_ACTUALS!$L:$L,MATCH(A8,BANK_ACTUALS!$A:$A,0)),"")</x:f>
      </x:c>
      <x:c r="D8" s="18" t="str">
        <x:f>IFERROR(INDEX(BANK_ACTUALS!$M:$M,MATCH(A8,BANK_ACTUALS!$A:$A,0)),"")</x:f>
      </x:c>
      <x:c r="E8" s="18" t="str">
        <x:f>IFERROR(INDEX(BANK_ACTUALS!$F:$F,MATCH(A8,BANK_ACTUALS!$A:$A,0))/INDEX(BANK_ACTUALS!$C:$C,MATCH(A8,BANK_ACTUALS!$A:$A,0)),"")</x:f>
      </x:c>
      <x:c r="F8" s="18" t="str">
        <x:f>IFERROR((INDEX(BANK_ACTUALS!$D:$D,MATCH(A8,BANK_ACTUALS!$A:$A,0))-INDEX(BANK_ACTUALS!$E:$E,MATCH(A8,BANK_ACTUALS!$A:$A,0)))/INDEX(BANK_ACTUALS!$E:$E,MATCH(A8,BANK_ACTUALS!$A:$A,0)),"")</x:f>
      </x:c>
      <x:c r="G8" s="18" t="str">
        <x:f>IFERROR(INDEX(BANK_ACTUALS!$K:$K,MATCH(A8,BANK_ACTUALS!$A:$A,0)),"")</x:f>
      </x:c>
      <x:c r="H8" s="18" t="str">
        <x:f>IF(C8="","",1-C8)</x:f>
      </x:c>
      <x:c r="I8" s="18" t="n">
        <x:f>COUNT(C8:H8)/6</x:f>
        <x:v>0</x:v>
      </x:c>
      <x:c r="J8" s="20" t="str">
        <x:f>IF(I8&lt;0.5,"",MAX(0,MIN(100,50+35*(C8-0.85)-25*(D8-0.20)+45*E8+30*F8-10*(G8-0.03)-20*(H8-0.15))))</x:f>
      </x:c>
      <x:c r="K8" s="20" t="n">
        <x:f>MODEL_PARAMETERS!$B$6</x:f>
        <x:v>1.35</x:v>
      </x:c>
      <x:c r="L8" s="20" t="str">
        <x:f>IF(J8="","",MAX(0,MIN(100,J8*K8)))</x:f>
      </x:c>
      <x:c r="M8" s="22" t="str">
        <x:f>IF(L8="","",MODEL_PARAMETERS!$B$7*(L8/100))</x:f>
      </x:c>
      <x:c r="N8" s="18" t="str">
        <x:f>IF(G8="","",MAX(0,G8-M8/100))</x:f>
      </x:c>
      <x:c r="O8" t="str">
        <x:f>IF(L8="","",IF(OR(L8&gt;=MODEL_PARAMETERS!$B$8,N8&lt;0.02),"RED",IF(L8&gt;=MODEL_PARAMETERS!$B$9,"AMBER","GREEN")))</x:f>
      </x:c>
      <x:c r="P8" t="str">
        <x:v>CALC</x:v>
      </x:c>
    </x:row>
    <x:row r="9">
      <x:c r="A9" t="str">
        <x:v>ACB</x:v>
      </x:c>
      <x:c r="B9" t="str">
        <x:f>IFERROR(INDEX(BANK_ACTUALS!$B:$B,MATCH(A9,BANK_ACTUALS!$A:$A,0)),"")</x:f>
      </x:c>
      <x:c r="C9" s="18" t="str">
        <x:f>IFERROR(INDEX(BANK_ACTUALS!$L:$L,MATCH(A9,BANK_ACTUALS!$A:$A,0)),"")</x:f>
      </x:c>
      <x:c r="D9" s="18" t="str">
        <x:f>IFERROR(INDEX(BANK_ACTUALS!$M:$M,MATCH(A9,BANK_ACTUALS!$A:$A,0)),"")</x:f>
      </x:c>
      <x:c r="E9" s="18" t="str">
        <x:f>IFERROR(INDEX(BANK_ACTUALS!$F:$F,MATCH(A9,BANK_ACTUALS!$A:$A,0))/INDEX(BANK_ACTUALS!$C:$C,MATCH(A9,BANK_ACTUALS!$A:$A,0)),"")</x:f>
      </x:c>
      <x:c r="F9" s="18" t="str">
        <x:f>IFERROR((INDEX(BANK_ACTUALS!$D:$D,MATCH(A9,BANK_ACTUALS!$A:$A,0))-INDEX(BANK_ACTUALS!$E:$E,MATCH(A9,BANK_ACTUALS!$A:$A,0)))/INDEX(BANK_ACTUALS!$E:$E,MATCH(A9,BANK_ACTUALS!$A:$A,0)),"")</x:f>
      </x:c>
      <x:c r="G9" s="18" t="str">
        <x:f>IFERROR(INDEX(BANK_ACTUALS!$K:$K,MATCH(A9,BANK_ACTUALS!$A:$A,0)),"")</x:f>
      </x:c>
      <x:c r="H9" s="18" t="str">
        <x:f>IF(C9="","",1-C9)</x:f>
      </x:c>
      <x:c r="I9" s="18" t="n">
        <x:f>COUNT(C9:H9)/6</x:f>
        <x:v>0</x:v>
      </x:c>
      <x:c r="J9" s="20" t="str">
        <x:f>IF(I9&lt;0.5,"",MAX(0,MIN(100,50+35*(C9-0.85)-25*(D9-0.20)+45*E9+30*F9-10*(G9-0.03)-20*(H9-0.15))))</x:f>
      </x:c>
      <x:c r="K9" s="20" t="n">
        <x:f>MODEL_PARAMETERS!$B$6</x:f>
        <x:v>1.35</x:v>
      </x:c>
      <x:c r="L9" s="20" t="str">
        <x:f>IF(J9="","",MAX(0,MIN(100,J9*K9)))</x:f>
      </x:c>
      <x:c r="M9" s="22" t="str">
        <x:f>IF(L9="","",MODEL_PARAMETERS!$B$7*(L9/100))</x:f>
      </x:c>
      <x:c r="N9" s="18" t="str">
        <x:f>IF(G9="","",MAX(0,G9-M9/100))</x:f>
      </x:c>
      <x:c r="O9" t="str">
        <x:f>IF(L9="","",IF(OR(L9&gt;=MODEL_PARAMETERS!$B$8,N9&lt;0.02),"RED",IF(L9&gt;=MODEL_PARAMETERS!$B$9,"AMBER","GREEN")))</x:f>
      </x:c>
      <x:c r="P9" t="str">
        <x:v>CALC</x:v>
      </x:c>
    </x:row>
    <x:row r="10">
      <x:c r="A10" t="str">
        <x:v>HDB</x:v>
      </x:c>
      <x:c r="B10" t="str">
        <x:f>IFERROR(INDEX(BANK_ACTUALS!$B:$B,MATCH(A10,BANK_ACTUALS!$A:$A,0)),"")</x:f>
      </x:c>
      <x:c r="C10" s="18" t="str">
        <x:f>IFERROR(INDEX(BANK_ACTUALS!$L:$L,MATCH(A10,BANK_ACTUALS!$A:$A,0)),"")</x:f>
      </x:c>
      <x:c r="D10" s="18" t="str">
        <x:f>IFERROR(INDEX(BANK_ACTUALS!$M:$M,MATCH(A10,BANK_ACTUALS!$A:$A,0)),"")</x:f>
      </x:c>
      <x:c r="E10" s="18" t="str">
        <x:f>IFERROR(INDEX(BANK_ACTUALS!$F:$F,MATCH(A10,BANK_ACTUALS!$A:$A,0))/INDEX(BANK_ACTUALS!$C:$C,MATCH(A10,BANK_ACTUALS!$A:$A,0)),"")</x:f>
      </x:c>
      <x:c r="F10" s="18" t="str">
        <x:f>IFERROR((INDEX(BANK_ACTUALS!$D:$D,MATCH(A10,BANK_ACTUALS!$A:$A,0))-INDEX(BANK_ACTUALS!$E:$E,MATCH(A10,BANK_ACTUALS!$A:$A,0)))/INDEX(BANK_ACTUALS!$E:$E,MATCH(A10,BANK_ACTUALS!$A:$A,0)),"")</x:f>
      </x:c>
      <x:c r="G10" s="18" t="str">
        <x:f>IFERROR(INDEX(BANK_ACTUALS!$K:$K,MATCH(A10,BANK_ACTUALS!$A:$A,0)),"")</x:f>
      </x:c>
      <x:c r="H10" s="18" t="str">
        <x:f>IF(C10="","",1-C10)</x:f>
      </x:c>
      <x:c r="I10" s="18" t="n">
        <x:f>COUNT(C10:H10)/6</x:f>
        <x:v>0</x:v>
      </x:c>
      <x:c r="J10" s="20" t="str">
        <x:f>IF(I10&lt;0.5,"",MAX(0,MIN(100,50+35*(C10-0.85)-25*(D10-0.20)+45*E10+30*F10-10*(G10-0.03)-20*(H10-0.15))))</x:f>
      </x:c>
      <x:c r="K10" s="20" t="n">
        <x:f>MODEL_PARAMETERS!$B$6</x:f>
        <x:v>1.35</x:v>
      </x:c>
      <x:c r="L10" s="20" t="str">
        <x:f>IF(J10="","",MAX(0,MIN(100,J10*K10)))</x:f>
      </x:c>
      <x:c r="M10" s="22" t="str">
        <x:f>IF(L10="","",MODEL_PARAMETERS!$B$7*(L10/100))</x:f>
      </x:c>
      <x:c r="N10" s="18" t="str">
        <x:f>IF(G10="","",MAX(0,G10-M10/100))</x:f>
      </x:c>
      <x:c r="O10" t="str">
        <x:f>IF(L10="","",IF(OR(L10&gt;=MODEL_PARAMETERS!$B$8,N10&lt;0.02),"RED",IF(L10&gt;=MODEL_PARAMETERS!$B$9,"AMBER","GREEN")))</x:f>
      </x:c>
      <x:c r="P10" t="str">
        <x:v>CALC</x:v>
      </x:c>
    </x:row>
    <x:row r="11">
      <x:c r="A11" t="str">
        <x:v>VPB</x:v>
      </x:c>
      <x:c r="B11" t="str">
        <x:f>IFERROR(INDEX(BANK_ACTUALS!$B:$B,MATCH(A11,BANK_ACTUALS!$A:$A,0)),"")</x:f>
      </x:c>
      <x:c r="C11" s="18" t="str">
        <x:f>IFERROR(INDEX(BANK_ACTUALS!$L:$L,MATCH(A11,BANK_ACTUALS!$A:$A,0)),"")</x:f>
      </x:c>
      <x:c r="D11" s="18" t="str">
        <x:f>IFERROR(INDEX(BANK_ACTUALS!$M:$M,MATCH(A11,BANK_ACTUALS!$A:$A,0)),"")</x:f>
      </x:c>
      <x:c r="E11" s="18" t="str">
        <x:f>IFERROR(INDEX(BANK_ACTUALS!$F:$F,MATCH(A11,BANK_ACTUALS!$A:$A,0))/INDEX(BANK_ACTUALS!$C:$C,MATCH(A11,BANK_ACTUALS!$A:$A,0)),"")</x:f>
      </x:c>
      <x:c r="F11" s="18" t="str">
        <x:f>IFERROR((INDEX(BANK_ACTUALS!$D:$D,MATCH(A11,BANK_ACTUALS!$A:$A,0))-INDEX(BANK_ACTUALS!$E:$E,MATCH(A11,BANK_ACTUALS!$A:$A,0)))/INDEX(BANK_ACTUALS!$E:$E,MATCH(A11,BANK_ACTUALS!$A:$A,0)),"")</x:f>
      </x:c>
      <x:c r="G11" s="18" t="str">
        <x:f>IFERROR(INDEX(BANK_ACTUALS!$K:$K,MATCH(A11,BANK_ACTUALS!$A:$A,0)),"")</x:f>
      </x:c>
      <x:c r="H11" s="18" t="str">
        <x:f>IF(C11="","",1-C11)</x:f>
      </x:c>
      <x:c r="I11" s="18" t="n">
        <x:f>COUNT(C11:H11)/6</x:f>
        <x:v>0</x:v>
      </x:c>
      <x:c r="J11" s="20" t="str">
        <x:f>IF(I11&lt;0.5,"",MAX(0,MIN(100,50+35*(C11-0.85)-25*(D11-0.20)+45*E11+30*F11-10*(G11-0.03)-20*(H11-0.15))))</x:f>
      </x:c>
      <x:c r="K11" s="20" t="n">
        <x:f>MODEL_PARAMETERS!$B$6</x:f>
        <x:v>1.35</x:v>
      </x:c>
      <x:c r="L11" s="20" t="str">
        <x:f>IF(J11="","",MAX(0,MIN(100,J11*K11)))</x:f>
      </x:c>
      <x:c r="M11" s="22" t="str">
        <x:f>IF(L11="","",MODEL_PARAMETERS!$B$7*(L11/100))</x:f>
      </x:c>
      <x:c r="N11" s="18" t="str">
        <x:f>IF(G11="","",MAX(0,G11-M11/100))</x:f>
      </x:c>
      <x:c r="O11" t="str">
        <x:f>IF(L11="","",IF(OR(L11&gt;=MODEL_PARAMETERS!$B$8,N11&lt;0.02),"RED",IF(L11&gt;=MODEL_PARAMETERS!$B$9,"AMBER","GREEN")))</x:f>
      </x:c>
      <x:c r="P11" t="str">
        <x:v>CALC</x:v>
      </x:c>
    </x:row>
    <x:row r="12">
      <x:c r="A12" t="str">
        <x:v>STB</x:v>
      </x:c>
      <x:c r="B12" t="str">
        <x:f>IFERROR(INDEX(BANK_ACTUALS!$B:$B,MATCH(A12,BANK_ACTUALS!$A:$A,0)),"")</x:f>
      </x:c>
      <x:c r="C12" s="18" t="str">
        <x:f>IFERROR(INDEX(BANK_ACTUALS!$L:$L,MATCH(A12,BANK_ACTUALS!$A:$A,0)),"")</x:f>
      </x:c>
      <x:c r="D12" s="18" t="str">
        <x:f>IFERROR(INDEX(BANK_ACTUALS!$M:$M,MATCH(A12,BANK_ACTUALS!$A:$A,0)),"")</x:f>
      </x:c>
      <x:c r="E12" s="18" t="str">
        <x:f>IFERROR(INDEX(BANK_ACTUALS!$F:$F,MATCH(A12,BANK_ACTUALS!$A:$A,0))/INDEX(BANK_ACTUALS!$C:$C,MATCH(A12,BANK_ACTUALS!$A:$A,0)),"")</x:f>
      </x:c>
      <x:c r="F12" s="18" t="str">
        <x:f>IFERROR((INDEX(BANK_ACTUALS!$D:$D,MATCH(A12,BANK_ACTUALS!$A:$A,0))-INDEX(BANK_ACTUALS!$E:$E,MATCH(A12,BANK_ACTUALS!$A:$A,0)))/INDEX(BANK_ACTUALS!$E:$E,MATCH(A12,BANK_ACTUALS!$A:$A,0)),"")</x:f>
      </x:c>
      <x:c r="G12" s="18" t="str">
        <x:f>IFERROR(INDEX(BANK_ACTUALS!$K:$K,MATCH(A12,BANK_ACTUALS!$A:$A,0)),"")</x:f>
      </x:c>
      <x:c r="H12" s="18" t="str">
        <x:f>IF(C12="","",1-C12)</x:f>
      </x:c>
      <x:c r="I12" s="18" t="n">
        <x:f>COUNT(C12:H12)/6</x:f>
        <x:v>0</x:v>
      </x:c>
      <x:c r="J12" s="20" t="str">
        <x:f>IF(I12&lt;0.5,"",MAX(0,MIN(100,50+35*(C12-0.85)-25*(D12-0.20)+45*E12+30*F12-10*(G12-0.03)-20*(H12-0.15))))</x:f>
      </x:c>
      <x:c r="K12" s="20" t="n">
        <x:f>MODEL_PARAMETERS!$B$6</x:f>
        <x:v>1.35</x:v>
      </x:c>
      <x:c r="L12" s="20" t="str">
        <x:f>IF(J12="","",MAX(0,MIN(100,J12*K12)))</x:f>
      </x:c>
      <x:c r="M12" s="22" t="str">
        <x:f>IF(L12="","",MODEL_PARAMETERS!$B$7*(L12/100))</x:f>
      </x:c>
      <x:c r="N12" s="18" t="str">
        <x:f>IF(G12="","",MAX(0,G12-M12/100))</x:f>
      </x:c>
      <x:c r="O12" t="str">
        <x:f>IF(L12="","",IF(OR(L12&gt;=MODEL_PARAMETERS!$B$8,N12&lt;0.02),"RED",IF(L12&gt;=MODEL_PARAMETERS!$B$9,"AMBER","GREEN")))</x:f>
      </x:c>
      <x:c r="P12" t="str">
        <x:v>CALC</x:v>
      </x:c>
    </x:row>
    <x:row r="13">
      <x:c r="A13" t="str">
        <x:v>VIB</x:v>
      </x:c>
      <x:c r="B13" t="str">
        <x:f>IFERROR(INDEX(BANK_ACTUALS!$B:$B,MATCH(A13,BANK_ACTUALS!$A:$A,0)),"")</x:f>
      </x:c>
      <x:c r="C13" s="18" t="str">
        <x:f>IFERROR(INDEX(BANK_ACTUALS!$L:$L,MATCH(A13,BANK_ACTUALS!$A:$A,0)),"")</x:f>
      </x:c>
      <x:c r="D13" s="18" t="str">
        <x:f>IFERROR(INDEX(BANK_ACTUALS!$M:$M,MATCH(A13,BANK_ACTUALS!$A:$A,0)),"")</x:f>
      </x:c>
      <x:c r="E13" s="18" t="str">
        <x:f>IFERROR(INDEX(BANK_ACTUALS!$F:$F,MATCH(A13,BANK_ACTUALS!$A:$A,0))/INDEX(BANK_ACTUALS!$C:$C,MATCH(A13,BANK_ACTUALS!$A:$A,0)),"")</x:f>
      </x:c>
      <x:c r="F13" s="18" t="str">
        <x:f>IFERROR((INDEX(BANK_ACTUALS!$D:$D,MATCH(A13,BANK_ACTUALS!$A:$A,0))-INDEX(BANK_ACTUALS!$E:$E,MATCH(A13,BANK_ACTUALS!$A:$A,0)))/INDEX(BANK_ACTUALS!$E:$E,MATCH(A13,BANK_ACTUALS!$A:$A,0)),"")</x:f>
      </x:c>
      <x:c r="G13" s="18" t="str">
        <x:f>IFERROR(INDEX(BANK_ACTUALS!$K:$K,MATCH(A13,BANK_ACTUALS!$A:$A,0)),"")</x:f>
      </x:c>
      <x:c r="H13" s="18" t="str">
        <x:f>IF(C13="","",1-C13)</x:f>
      </x:c>
      <x:c r="I13" s="18" t="n">
        <x:f>COUNT(C13:H13)/6</x:f>
        <x:v>0</x:v>
      </x:c>
      <x:c r="J13" s="20" t="str">
        <x:f>IF(I13&lt;0.5,"",MAX(0,MIN(100,50+35*(C13-0.85)-25*(D13-0.20)+45*E13+30*F13-10*(G13-0.03)-20*(H13-0.15))))</x:f>
      </x:c>
      <x:c r="K13" s="20" t="n">
        <x:f>MODEL_PARAMETERS!$B$6</x:f>
        <x:v>1.35</x:v>
      </x:c>
      <x:c r="L13" s="20" t="str">
        <x:f>IF(J13="","",MAX(0,MIN(100,J13*K13)))</x:f>
      </x:c>
      <x:c r="M13" s="22" t="str">
        <x:f>IF(L13="","",MODEL_PARAMETERS!$B$7*(L13/100))</x:f>
      </x:c>
      <x:c r="N13" s="18" t="str">
        <x:f>IF(G13="","",MAX(0,G13-M13/100))</x:f>
      </x:c>
      <x:c r="O13" t="str">
        <x:f>IF(L13="","",IF(OR(L13&gt;=MODEL_PARAMETERS!$B$8,N13&lt;0.02),"RED",IF(L13&gt;=MODEL_PARAMETERS!$B$9,"AMBER","GREEN")))</x:f>
      </x:c>
      <x:c r="P13" t="str">
        <x:v>CALC</x:v>
      </x:c>
    </x:row>
    <x:row r="14">
      <x:c r="A14" t="str">
        <x:v>SHB</x:v>
      </x:c>
      <x:c r="B14" t="str">
        <x:f>IFERROR(INDEX(BANK_ACTUALS!$B:$B,MATCH(A14,BANK_ACTUALS!$A:$A,0)),"")</x:f>
      </x:c>
      <x:c r="C14" s="18" t="str">
        <x:f>IFERROR(INDEX(BANK_ACTUALS!$L:$L,MATCH(A14,BANK_ACTUALS!$A:$A,0)),"")</x:f>
      </x:c>
      <x:c r="D14" s="18" t="str">
        <x:f>IFERROR(INDEX(BANK_ACTUALS!$M:$M,MATCH(A14,BANK_ACTUALS!$A:$A,0)),"")</x:f>
      </x:c>
      <x:c r="E14" s="18" t="str">
        <x:f>IFERROR(INDEX(BANK_ACTUALS!$F:$F,MATCH(A14,BANK_ACTUALS!$A:$A,0))/INDEX(BANK_ACTUALS!$C:$C,MATCH(A14,BANK_ACTUALS!$A:$A,0)),"")</x:f>
      </x:c>
      <x:c r="F14" s="18" t="str">
        <x:f>IFERROR((INDEX(BANK_ACTUALS!$D:$D,MATCH(A14,BANK_ACTUALS!$A:$A,0))-INDEX(BANK_ACTUALS!$E:$E,MATCH(A14,BANK_ACTUALS!$A:$A,0)))/INDEX(BANK_ACTUALS!$E:$E,MATCH(A14,BANK_ACTUALS!$A:$A,0)),"")</x:f>
      </x:c>
      <x:c r="G14" s="18" t="str">
        <x:f>IFERROR(INDEX(BANK_ACTUALS!$K:$K,MATCH(A14,BANK_ACTUALS!$A:$A,0)),"")</x:f>
      </x:c>
      <x:c r="H14" s="18" t="str">
        <x:f>IF(C14="","",1-C14)</x:f>
      </x:c>
      <x:c r="I14" s="18" t="n">
        <x:f>COUNT(C14:H14)/6</x:f>
        <x:v>0</x:v>
      </x:c>
      <x:c r="J14" s="20" t="str">
        <x:f>IF(I14&lt;0.5,"",MAX(0,MIN(100,50+35*(C14-0.85)-25*(D14-0.20)+45*E14+30*F14-10*(G14-0.03)-20*(H14-0.15))))</x:f>
      </x:c>
      <x:c r="K14" s="20" t="n">
        <x:f>MODEL_PARAMETERS!$B$6</x:f>
        <x:v>1.35</x:v>
      </x:c>
      <x:c r="L14" s="20" t="str">
        <x:f>IF(J14="","",MAX(0,MIN(100,J14*K14)))</x:f>
      </x:c>
      <x:c r="M14" s="22" t="str">
        <x:f>IF(L14="","",MODEL_PARAMETERS!$B$7*(L14/100))</x:f>
      </x:c>
      <x:c r="N14" s="18" t="str">
        <x:f>IF(G14="","",MAX(0,G14-M14/100))</x:f>
      </x:c>
      <x:c r="O14" t="str">
        <x:f>IF(L14="","",IF(OR(L14&gt;=MODEL_PARAMETERS!$B$8,N14&lt;0.02),"RED",IF(L14&gt;=MODEL_PARAMETERS!$B$9,"AMBER","GREEN")))</x:f>
      </x:c>
      <x:c r="P14" t="str">
        <x:v>CALC</x:v>
      </x:c>
    </x:row>
    <x:row r="15">
      <x:c r="A15" t="str">
        <x:v>TPB</x:v>
      </x:c>
      <x:c r="B15" t="str">
        <x:f>IFERROR(INDEX(BANK_ACTUALS!$B:$B,MATCH(A15,BANK_ACTUALS!$A:$A,0)),"")</x:f>
      </x:c>
      <x:c r="C15" s="18" t="str">
        <x:f>IFERROR(INDEX(BANK_ACTUALS!$L:$L,MATCH(A15,BANK_ACTUALS!$A:$A,0)),"")</x:f>
      </x:c>
      <x:c r="D15" s="18" t="str">
        <x:f>IFERROR(INDEX(BANK_ACTUALS!$M:$M,MATCH(A15,BANK_ACTUALS!$A:$A,0)),"")</x:f>
      </x:c>
      <x:c r="E15" s="18" t="str">
        <x:f>IFERROR(INDEX(BANK_ACTUALS!$F:$F,MATCH(A15,BANK_ACTUALS!$A:$A,0))/INDEX(BANK_ACTUALS!$C:$C,MATCH(A15,BANK_ACTUALS!$A:$A,0)),"")</x:f>
      </x:c>
      <x:c r="F15" s="18" t="str">
        <x:f>IFERROR((INDEX(BANK_ACTUALS!$D:$D,MATCH(A15,BANK_ACTUALS!$A:$A,0))-INDEX(BANK_ACTUALS!$E:$E,MATCH(A15,BANK_ACTUALS!$A:$A,0)))/INDEX(BANK_ACTUALS!$E:$E,MATCH(A15,BANK_ACTUALS!$A:$A,0)),"")</x:f>
      </x:c>
      <x:c r="G15" s="18" t="str">
        <x:f>IFERROR(INDEX(BANK_ACTUALS!$K:$K,MATCH(A15,BANK_ACTUALS!$A:$A,0)),"")</x:f>
      </x:c>
      <x:c r="H15" s="18" t="str">
        <x:f>IF(C15="","",1-C15)</x:f>
      </x:c>
      <x:c r="I15" s="18" t="n">
        <x:f>COUNT(C15:H15)/6</x:f>
        <x:v>0</x:v>
      </x:c>
      <x:c r="J15" s="20" t="str">
        <x:f>IF(I15&lt;0.5,"",MAX(0,MIN(100,50+35*(C15-0.85)-25*(D15-0.20)+45*E15+30*F15-10*(G15-0.03)-20*(H15-0.15))))</x:f>
      </x:c>
      <x:c r="K15" s="20" t="n">
        <x:f>MODEL_PARAMETERS!$B$6</x:f>
        <x:v>1.35</x:v>
      </x:c>
      <x:c r="L15" s="20" t="str">
        <x:f>IF(J15="","",MAX(0,MIN(100,J15*K15)))</x:f>
      </x:c>
      <x:c r="M15" s="22" t="str">
        <x:f>IF(L15="","",MODEL_PARAMETERS!$B$7*(L15/100))</x:f>
      </x:c>
      <x:c r="N15" s="18" t="str">
        <x:f>IF(G15="","",MAX(0,G15-M15/100))</x:f>
      </x:c>
      <x:c r="O15" t="str">
        <x:f>IF(L15="","",IF(OR(L15&gt;=MODEL_PARAMETERS!$B$8,N15&lt;0.02),"RED",IF(L15&gt;=MODEL_PARAMETERS!$B$9,"AMBER","GREEN")))</x:f>
      </x:c>
      <x:c r="P15" t="str">
        <x:v>CALC</x:v>
      </x:c>
    </x:row>
    <x:row r="16">
      <x:c r="A16" t="str">
        <x:v>LPB</x:v>
      </x:c>
      <x:c r="B16" t="str">
        <x:f>IFERROR(INDEX(BANK_ACTUALS!$B:$B,MATCH(A16,BANK_ACTUALS!$A:$A,0)),"")</x:f>
      </x:c>
      <x:c r="C16" s="18" t="str">
        <x:f>IFERROR(INDEX(BANK_ACTUALS!$L:$L,MATCH(A16,BANK_ACTUALS!$A:$A,0)),"")</x:f>
      </x:c>
      <x:c r="D16" s="18" t="str">
        <x:f>IFERROR(INDEX(BANK_ACTUALS!$M:$M,MATCH(A16,BANK_ACTUALS!$A:$A,0)),"")</x:f>
      </x:c>
      <x:c r="E16" s="18" t="str">
        <x:f>IFERROR(INDEX(BANK_ACTUALS!$F:$F,MATCH(A16,BANK_ACTUALS!$A:$A,0))/INDEX(BANK_ACTUALS!$C:$C,MATCH(A16,BANK_ACTUALS!$A:$A,0)),"")</x:f>
      </x:c>
      <x:c r="F16" s="18" t="str">
        <x:f>IFERROR((INDEX(BANK_ACTUALS!$D:$D,MATCH(A16,BANK_ACTUALS!$A:$A,0))-INDEX(BANK_ACTUALS!$E:$E,MATCH(A16,BANK_ACTUALS!$A:$A,0)))/INDEX(BANK_ACTUALS!$E:$E,MATCH(A16,BANK_ACTUALS!$A:$A,0)),"")</x:f>
      </x:c>
      <x:c r="G16" s="18" t="str">
        <x:f>IFERROR(INDEX(BANK_ACTUALS!$K:$K,MATCH(A16,BANK_ACTUALS!$A:$A,0)),"")</x:f>
      </x:c>
      <x:c r="H16" s="18" t="str">
        <x:f>IF(C16="","",1-C16)</x:f>
      </x:c>
      <x:c r="I16" s="18" t="n">
        <x:f>COUNT(C16:H16)/6</x:f>
        <x:v>0</x:v>
      </x:c>
      <x:c r="J16" s="20" t="str">
        <x:f>IF(I16&lt;0.5,"",MAX(0,MIN(100,50+35*(C16-0.85)-25*(D16-0.20)+45*E16+30*F16-10*(G16-0.03)-20*(H16-0.15))))</x:f>
      </x:c>
      <x:c r="K16" s="20" t="n">
        <x:f>MODEL_PARAMETERS!$B$6</x:f>
        <x:v>1.35</x:v>
      </x:c>
      <x:c r="L16" s="20" t="str">
        <x:f>IF(J16="","",MAX(0,MIN(100,J16*K16)))</x:f>
      </x:c>
      <x:c r="M16" s="22" t="str">
        <x:f>IF(L16="","",MODEL_PARAMETERS!$B$7*(L16/100))</x:f>
      </x:c>
      <x:c r="N16" s="18" t="str">
        <x:f>IF(G16="","",MAX(0,G16-M16/100))</x:f>
      </x:c>
      <x:c r="O16" t="str">
        <x:f>IF(L16="","",IF(OR(L16&gt;=MODEL_PARAMETERS!$B$8,N16&lt;0.02),"RED",IF(L16&gt;=MODEL_PARAMETERS!$B$9,"AMBER","GREEN")))</x:f>
      </x:c>
      <x:c r="P16" t="str">
        <x:v>CALC</x:v>
      </x:c>
    </x:row>
    <x:row r="17">
      <x:c r="A17" t="str">
        <x:v>OCB</x:v>
      </x:c>
      <x:c r="B17" t="str">
        <x:f>IFERROR(INDEX(BANK_ACTUALS!$B:$B,MATCH(A17,BANK_ACTUALS!$A:$A,0)),"")</x:f>
      </x:c>
      <x:c r="C17" s="18" t="str">
        <x:f>IFERROR(INDEX(BANK_ACTUALS!$L:$L,MATCH(A17,BANK_ACTUALS!$A:$A,0)),"")</x:f>
      </x:c>
      <x:c r="D17" s="18" t="str">
        <x:f>IFERROR(INDEX(BANK_ACTUALS!$M:$M,MATCH(A17,BANK_ACTUALS!$A:$A,0)),"")</x:f>
      </x:c>
      <x:c r="E17" s="18" t="str">
        <x:f>IFERROR(INDEX(BANK_ACTUALS!$F:$F,MATCH(A17,BANK_ACTUALS!$A:$A,0))/INDEX(BANK_ACTUALS!$C:$C,MATCH(A17,BANK_ACTUALS!$A:$A,0)),"")</x:f>
      </x:c>
      <x:c r="F17" s="18" t="str">
        <x:f>IFERROR((INDEX(BANK_ACTUALS!$D:$D,MATCH(A17,BANK_ACTUALS!$A:$A,0))-INDEX(BANK_ACTUALS!$E:$E,MATCH(A17,BANK_ACTUALS!$A:$A,0)))/INDEX(BANK_ACTUALS!$E:$E,MATCH(A17,BANK_ACTUALS!$A:$A,0)),"")</x:f>
      </x:c>
      <x:c r="G17" s="18" t="str">
        <x:f>IFERROR(INDEX(BANK_ACTUALS!$K:$K,MATCH(A17,BANK_ACTUALS!$A:$A,0)),"")</x:f>
      </x:c>
      <x:c r="H17" s="18" t="str">
        <x:f>IF(C17="","",1-C17)</x:f>
      </x:c>
      <x:c r="I17" s="18" t="n">
        <x:f>COUNT(C17:H17)/6</x:f>
        <x:v>0</x:v>
      </x:c>
      <x:c r="J17" s="20" t="str">
        <x:f>IF(I17&lt;0.5,"",MAX(0,MIN(100,50+35*(C17-0.85)-25*(D17-0.20)+45*E17+30*F17-10*(G17-0.03)-20*(H17-0.15))))</x:f>
      </x:c>
      <x:c r="K17" s="20" t="n">
        <x:f>MODEL_PARAMETERS!$B$6</x:f>
        <x:v>1.35</x:v>
      </x:c>
      <x:c r="L17" s="20" t="str">
        <x:f>IF(J17="","",MAX(0,MIN(100,J17*K17)))</x:f>
      </x:c>
      <x:c r="M17" s="22" t="str">
        <x:f>IF(L17="","",MODEL_PARAMETERS!$B$7*(L17/100))</x:f>
      </x:c>
      <x:c r="N17" s="18" t="str">
        <x:f>IF(G17="","",MAX(0,G17-M17/100))</x:f>
      </x:c>
      <x:c r="O17" t="str">
        <x:f>IF(L17="","",IF(OR(L17&gt;=MODEL_PARAMETERS!$B$8,N17&lt;0.02),"RED",IF(L17&gt;=MODEL_PARAMETERS!$B$9,"AMBER","GREEN")))</x:f>
      </x:c>
      <x:c r="P17" t="str">
        <x:v>CALC</x:v>
      </x:c>
    </x:row>
    <x:row r="18">
      <x:c r="A18" t="str">
        <x:v>MSB</x:v>
      </x:c>
      <x:c r="B18" t="str">
        <x:f>IFERROR(INDEX(BANK_ACTUALS!$B:$B,MATCH(A18,BANK_ACTUALS!$A:$A,0)),"")</x:f>
      </x:c>
      <x:c r="C18" s="18" t="str">
        <x:f>IFERROR(INDEX(BANK_ACTUALS!$L:$L,MATCH(A18,BANK_ACTUALS!$A:$A,0)),"")</x:f>
      </x:c>
      <x:c r="D18" s="18" t="str">
        <x:f>IFERROR(INDEX(BANK_ACTUALS!$M:$M,MATCH(A18,BANK_ACTUALS!$A:$A,0)),"")</x:f>
      </x:c>
      <x:c r="E18" s="18" t="str">
        <x:f>IFERROR(INDEX(BANK_ACTUALS!$F:$F,MATCH(A18,BANK_ACTUALS!$A:$A,0))/INDEX(BANK_ACTUALS!$C:$C,MATCH(A18,BANK_ACTUALS!$A:$A,0)),"")</x:f>
      </x:c>
      <x:c r="F18" s="18" t="str">
        <x:f>IFERROR((INDEX(BANK_ACTUALS!$D:$D,MATCH(A18,BANK_ACTUALS!$A:$A,0))-INDEX(BANK_ACTUALS!$E:$E,MATCH(A18,BANK_ACTUALS!$A:$A,0)))/INDEX(BANK_ACTUALS!$E:$E,MATCH(A18,BANK_ACTUALS!$A:$A,0)),"")</x:f>
      </x:c>
      <x:c r="G18" s="18" t="str">
        <x:f>IFERROR(INDEX(BANK_ACTUALS!$K:$K,MATCH(A18,BANK_ACTUALS!$A:$A,0)),"")</x:f>
      </x:c>
      <x:c r="H18" s="18" t="str">
        <x:f>IF(C18="","",1-C18)</x:f>
      </x:c>
      <x:c r="I18" s="18" t="n">
        <x:f>COUNT(C18:H18)/6</x:f>
        <x:v>0</x:v>
      </x:c>
      <x:c r="J18" s="20" t="str">
        <x:f>IF(I18&lt;0.5,"",MAX(0,MIN(100,50+35*(C18-0.85)-25*(D18-0.20)+45*E18+30*F18-10*(G18-0.03)-20*(H18-0.15))))</x:f>
      </x:c>
      <x:c r="K18" s="20" t="n">
        <x:f>MODEL_PARAMETERS!$B$6</x:f>
        <x:v>1.35</x:v>
      </x:c>
      <x:c r="L18" s="20" t="str">
        <x:f>IF(J18="","",MAX(0,MIN(100,J18*K18)))</x:f>
      </x:c>
      <x:c r="M18" s="22" t="str">
        <x:f>IF(L18="","",MODEL_PARAMETERS!$B$7*(L18/100))</x:f>
      </x:c>
      <x:c r="N18" s="18" t="str">
        <x:f>IF(G18="","",MAX(0,G18-M18/100))</x:f>
      </x:c>
      <x:c r="O18" t="str">
        <x:f>IF(L18="","",IF(OR(L18&gt;=MODEL_PARAMETERS!$B$8,N18&lt;0.02),"RED",IF(L18&gt;=MODEL_PARAMETERS!$B$9,"AMBER","GREEN")))</x:f>
      </x:c>
      <x:c r="P18" t="str">
        <x:v>CALC</x:v>
      </x:c>
    </x:row>
    <x:row r="19">
      <x:c r="A19" t="str">
        <x:v>SSB</x:v>
      </x:c>
      <x:c r="B19" t="str">
        <x:f>IFERROR(INDEX(BANK_ACTUALS!$B:$B,MATCH(A19,BANK_ACTUALS!$A:$A,0)),"")</x:f>
      </x:c>
      <x:c r="C19" s="18" t="str">
        <x:f>IFERROR(INDEX(BANK_ACTUALS!$L:$L,MATCH(A19,BANK_ACTUALS!$A:$A,0)),"")</x:f>
      </x:c>
      <x:c r="D19" s="18" t="str">
        <x:f>IFERROR(INDEX(BANK_ACTUALS!$M:$M,MATCH(A19,BANK_ACTUALS!$A:$A,0)),"")</x:f>
      </x:c>
      <x:c r="E19" s="18" t="str">
        <x:f>IFERROR(INDEX(BANK_ACTUALS!$F:$F,MATCH(A19,BANK_ACTUALS!$A:$A,0))/INDEX(BANK_ACTUALS!$C:$C,MATCH(A19,BANK_ACTUALS!$A:$A,0)),"")</x:f>
      </x:c>
      <x:c r="F19" s="18" t="str">
        <x:f>IFERROR((INDEX(BANK_ACTUALS!$D:$D,MATCH(A19,BANK_ACTUALS!$A:$A,0))-INDEX(BANK_ACTUALS!$E:$E,MATCH(A19,BANK_ACTUALS!$A:$A,0)))/INDEX(BANK_ACTUALS!$E:$E,MATCH(A19,BANK_ACTUALS!$A:$A,0)),"")</x:f>
      </x:c>
      <x:c r="G19" s="18" t="str">
        <x:f>IFERROR(INDEX(BANK_ACTUALS!$K:$K,MATCH(A19,BANK_ACTUALS!$A:$A,0)),"")</x:f>
      </x:c>
      <x:c r="H19" s="18" t="str">
        <x:f>IF(C19="","",1-C19)</x:f>
      </x:c>
      <x:c r="I19" s="18" t="n">
        <x:f>COUNT(C19:H19)/6</x:f>
        <x:v>0</x:v>
      </x:c>
      <x:c r="J19" s="20" t="str">
        <x:f>IF(I19&lt;0.5,"",MAX(0,MIN(100,50+35*(C19-0.85)-25*(D19-0.20)+45*E19+30*F19-10*(G19-0.03)-20*(H19-0.15))))</x:f>
      </x:c>
      <x:c r="K19" s="20" t="n">
        <x:f>MODEL_PARAMETERS!$B$6</x:f>
        <x:v>1.35</x:v>
      </x:c>
      <x:c r="L19" s="20" t="str">
        <x:f>IF(J19="","",MAX(0,MIN(100,J19*K19)))</x:f>
      </x:c>
      <x:c r="M19" s="22" t="str">
        <x:f>IF(L19="","",MODEL_PARAMETERS!$B$7*(L19/100))</x:f>
      </x:c>
      <x:c r="N19" s="18" t="str">
        <x:f>IF(G19="","",MAX(0,G19-M19/100))</x:f>
      </x:c>
      <x:c r="O19" t="str">
        <x:f>IF(L19="","",IF(OR(L19&gt;=MODEL_PARAMETERS!$B$8,N19&lt;0.02),"RED",IF(L19&gt;=MODEL_PARAMETERS!$B$9,"AMBER","GREEN")))</x:f>
      </x:c>
      <x:c r="P19" t="str">
        <x:v>CALC</x:v>
      </x:c>
    </x:row>
    <x:row r="20">
      <x:c r="A20" t="str">
        <x:v>EIB</x:v>
      </x:c>
      <x:c r="B20" t="str">
        <x:f>IFERROR(INDEX(BANK_ACTUALS!$B:$B,MATCH(A20,BANK_ACTUALS!$A:$A,0)),"")</x:f>
      </x:c>
      <x:c r="C20" s="18" t="str">
        <x:f>IFERROR(INDEX(BANK_ACTUALS!$L:$L,MATCH(A20,BANK_ACTUALS!$A:$A,0)),"")</x:f>
      </x:c>
      <x:c r="D20" s="18" t="str">
        <x:f>IFERROR(INDEX(BANK_ACTUALS!$M:$M,MATCH(A20,BANK_ACTUALS!$A:$A,0)),"")</x:f>
      </x:c>
      <x:c r="E20" s="18" t="str">
        <x:f>IFERROR(INDEX(BANK_ACTUALS!$F:$F,MATCH(A20,BANK_ACTUALS!$A:$A,0))/INDEX(BANK_ACTUALS!$C:$C,MATCH(A20,BANK_ACTUALS!$A:$A,0)),"")</x:f>
      </x:c>
      <x:c r="F20" s="18" t="str">
        <x:f>IFERROR((INDEX(BANK_ACTUALS!$D:$D,MATCH(A20,BANK_ACTUALS!$A:$A,0))-INDEX(BANK_ACTUALS!$E:$E,MATCH(A20,BANK_ACTUALS!$A:$A,0)))/INDEX(BANK_ACTUALS!$E:$E,MATCH(A20,BANK_ACTUALS!$A:$A,0)),"")</x:f>
      </x:c>
      <x:c r="G20" s="18" t="str">
        <x:f>IFERROR(INDEX(BANK_ACTUALS!$K:$K,MATCH(A20,BANK_ACTUALS!$A:$A,0)),"")</x:f>
      </x:c>
      <x:c r="H20" s="18" t="str">
        <x:f>IF(C20="","",1-C20)</x:f>
      </x:c>
      <x:c r="I20" s="18" t="n">
        <x:f>COUNT(C20:H20)/6</x:f>
        <x:v>0</x:v>
      </x:c>
      <x:c r="J20" s="20" t="str">
        <x:f>IF(I20&lt;0.5,"",MAX(0,MIN(100,50+35*(C20-0.85)-25*(D20-0.20)+45*E20+30*F20-10*(G20-0.03)-20*(H20-0.15))))</x:f>
      </x:c>
      <x:c r="K20" s="20" t="n">
        <x:f>MODEL_PARAMETERS!$B$6</x:f>
        <x:v>1.35</x:v>
      </x:c>
      <x:c r="L20" s="20" t="str">
        <x:f>IF(J20="","",MAX(0,MIN(100,J20*K20)))</x:f>
      </x:c>
      <x:c r="M20" s="22" t="str">
        <x:f>IF(L20="","",MODEL_PARAMETERS!$B$7*(L20/100))</x:f>
      </x:c>
      <x:c r="N20" s="18" t="str">
        <x:f>IF(G20="","",MAX(0,G20-M20/100))</x:f>
      </x:c>
      <x:c r="O20" t="str">
        <x:f>IF(L20="","",IF(OR(L20&gt;=MODEL_PARAMETERS!$B$8,N20&lt;0.02),"RED",IF(L20&gt;=MODEL_PARAMETERS!$B$9,"AMBER","GREEN")))</x:f>
      </x:c>
      <x:c r="P20" t="str">
        <x:v>CALC</x:v>
      </x:c>
    </x:row>
    <x:row r="21">
      <x:c r="A21" t="str">
        <x:v>NAB</x:v>
      </x:c>
      <x:c r="B21" t="str">
        <x:f>IFERROR(INDEX(BANK_ACTUALS!$B:$B,MATCH(A21,BANK_ACTUALS!$A:$A,0)),"")</x:f>
      </x:c>
      <x:c r="C21" s="18" t="str">
        <x:f>IFERROR(INDEX(BANK_ACTUALS!$L:$L,MATCH(A21,BANK_ACTUALS!$A:$A,0)),"")</x:f>
      </x:c>
      <x:c r="D21" s="18" t="str">
        <x:f>IFERROR(INDEX(BANK_ACTUALS!$M:$M,MATCH(A21,BANK_ACTUALS!$A:$A,0)),"")</x:f>
      </x:c>
      <x:c r="E21" s="18" t="str">
        <x:f>IFERROR(INDEX(BANK_ACTUALS!$F:$F,MATCH(A21,BANK_ACTUALS!$A:$A,0))/INDEX(BANK_ACTUALS!$C:$C,MATCH(A21,BANK_ACTUALS!$A:$A,0)),"")</x:f>
      </x:c>
      <x:c r="F21" s="18" t="str">
        <x:f>IFERROR((INDEX(BANK_ACTUALS!$D:$D,MATCH(A21,BANK_ACTUALS!$A:$A,0))-INDEX(BANK_ACTUALS!$E:$E,MATCH(A21,BANK_ACTUALS!$A:$A,0)))/INDEX(BANK_ACTUALS!$E:$E,MATCH(A21,BANK_ACTUALS!$A:$A,0)),"")</x:f>
      </x:c>
      <x:c r="G21" s="18" t="str">
        <x:f>IFERROR(INDEX(BANK_ACTUALS!$K:$K,MATCH(A21,BANK_ACTUALS!$A:$A,0)),"")</x:f>
      </x:c>
      <x:c r="H21" s="18" t="str">
        <x:f>IF(C21="","",1-C21)</x:f>
      </x:c>
      <x:c r="I21" s="18" t="n">
        <x:f>COUNT(C21:H21)/6</x:f>
        <x:v>0</x:v>
      </x:c>
      <x:c r="J21" s="20" t="str">
        <x:f>IF(I21&lt;0.5,"",MAX(0,MIN(100,50+35*(C21-0.85)-25*(D21-0.20)+45*E21+30*F21-10*(G21-0.03)-20*(H21-0.15))))</x:f>
      </x:c>
      <x:c r="K21" s="20" t="n">
        <x:f>MODEL_PARAMETERS!$B$6</x:f>
        <x:v>1.35</x:v>
      </x:c>
      <x:c r="L21" s="20" t="str">
        <x:f>IF(J21="","",MAX(0,MIN(100,J21*K21)))</x:f>
      </x:c>
      <x:c r="M21" s="22" t="str">
        <x:f>IF(L21="","",MODEL_PARAMETERS!$B$7*(L21/100))</x:f>
      </x:c>
      <x:c r="N21" s="18" t="str">
        <x:f>IF(G21="","",MAX(0,G21-M21/100))</x:f>
      </x:c>
      <x:c r="O21" t="str">
        <x:f>IF(L21="","",IF(OR(L21&gt;=MODEL_PARAMETERS!$B$8,N21&lt;0.02),"RED",IF(L21&gt;=MODEL_PARAMETERS!$B$9,"AMBER","GREEN")))</x:f>
      </x:c>
      <x:c r="P21" t="str">
        <x:v>CALC</x:v>
      </x:c>
    </x:row>
    <x:row r="22">
      <x:c r="A22" t="str">
        <x:v>KLB</x:v>
      </x:c>
      <x:c r="B22" t="str">
        <x:f>IFERROR(INDEX(BANK_ACTUALS!$B:$B,MATCH(A22,BANK_ACTUALS!$A:$A,0)),"")</x:f>
      </x:c>
      <x:c r="C22" s="18" t="str">
        <x:f>IFERROR(INDEX(BANK_ACTUALS!$L:$L,MATCH(A22,BANK_ACTUALS!$A:$A,0)),"")</x:f>
      </x:c>
      <x:c r="D22" s="18" t="str">
        <x:f>IFERROR(INDEX(BANK_ACTUALS!$M:$M,MATCH(A22,BANK_ACTUALS!$A:$A,0)),"")</x:f>
      </x:c>
      <x:c r="E22" s="18" t="str">
        <x:f>IFERROR(INDEX(BANK_ACTUALS!$F:$F,MATCH(A22,BANK_ACTUALS!$A:$A,0))/INDEX(BANK_ACTUALS!$C:$C,MATCH(A22,BANK_ACTUALS!$A:$A,0)),"")</x:f>
      </x:c>
      <x:c r="F22" s="18" t="str">
        <x:f>IFERROR((INDEX(BANK_ACTUALS!$D:$D,MATCH(A22,BANK_ACTUALS!$A:$A,0))-INDEX(BANK_ACTUALS!$E:$E,MATCH(A22,BANK_ACTUALS!$A:$A,0)))/INDEX(BANK_ACTUALS!$E:$E,MATCH(A22,BANK_ACTUALS!$A:$A,0)),"")</x:f>
      </x:c>
      <x:c r="G22" s="18" t="str">
        <x:f>IFERROR(INDEX(BANK_ACTUALS!$K:$K,MATCH(A22,BANK_ACTUALS!$A:$A,0)),"")</x:f>
      </x:c>
      <x:c r="H22" s="18" t="str">
        <x:f>IF(C22="","",1-C22)</x:f>
      </x:c>
      <x:c r="I22" s="18" t="n">
        <x:f>COUNT(C22:H22)/6</x:f>
        <x:v>0</x:v>
      </x:c>
      <x:c r="J22" s="20" t="str">
        <x:f>IF(I22&lt;0.5,"",MAX(0,MIN(100,50+35*(C22-0.85)-25*(D22-0.20)+45*E22+30*F22-10*(G22-0.03)-20*(H22-0.15))))</x:f>
      </x:c>
      <x:c r="K22" s="20" t="n">
        <x:f>MODEL_PARAMETERS!$B$6</x:f>
        <x:v>1.35</x:v>
      </x:c>
      <x:c r="L22" s="20" t="str">
        <x:f>IF(J22="","",MAX(0,MIN(100,J22*K22)))</x:f>
      </x:c>
      <x:c r="M22" s="22" t="str">
        <x:f>IF(L22="","",MODEL_PARAMETERS!$B$7*(L22/100))</x:f>
      </x:c>
      <x:c r="N22" s="18" t="str">
        <x:f>IF(G22="","",MAX(0,G22-M22/100))</x:f>
      </x:c>
      <x:c r="O22" t="str">
        <x:f>IF(L22="","",IF(OR(L22&gt;=MODEL_PARAMETERS!$B$8,N22&lt;0.02),"RED",IF(L22&gt;=MODEL_PARAMETERS!$B$9,"AMBER","GREEN")))</x:f>
      </x:c>
      <x:c r="P22" t="str">
        <x:v>CALC</x:v>
      </x:c>
    </x:row>
    <x:row r="23">
      <x:c r="A23" t="str">
        <x:v>BAB</x:v>
      </x:c>
      <x:c r="B23" t="str">
        <x:f>IFERROR(INDEX(BANK_ACTUALS!$B:$B,MATCH(A23,BANK_ACTUALS!$A:$A,0)),"")</x:f>
      </x:c>
      <x:c r="C23" s="18" t="str">
        <x:f>IFERROR(INDEX(BANK_ACTUALS!$L:$L,MATCH(A23,BANK_ACTUALS!$A:$A,0)),"")</x:f>
      </x:c>
      <x:c r="D23" s="18" t="str">
        <x:f>IFERROR(INDEX(BANK_ACTUALS!$M:$M,MATCH(A23,BANK_ACTUALS!$A:$A,0)),"")</x:f>
      </x:c>
      <x:c r="E23" s="18" t="str">
        <x:f>IFERROR(INDEX(BANK_ACTUALS!$F:$F,MATCH(A23,BANK_ACTUALS!$A:$A,0))/INDEX(BANK_ACTUALS!$C:$C,MATCH(A23,BANK_ACTUALS!$A:$A,0)),"")</x:f>
      </x:c>
      <x:c r="F23" s="18" t="str">
        <x:f>IFERROR((INDEX(BANK_ACTUALS!$D:$D,MATCH(A23,BANK_ACTUALS!$A:$A,0))-INDEX(BANK_ACTUALS!$E:$E,MATCH(A23,BANK_ACTUALS!$A:$A,0)))/INDEX(BANK_ACTUALS!$E:$E,MATCH(A23,BANK_ACTUALS!$A:$A,0)),"")</x:f>
      </x:c>
      <x:c r="G23" s="18" t="str">
        <x:f>IFERROR(INDEX(BANK_ACTUALS!$K:$K,MATCH(A23,BANK_ACTUALS!$A:$A,0)),"")</x:f>
      </x:c>
      <x:c r="H23" s="18" t="str">
        <x:f>IF(C23="","",1-C23)</x:f>
      </x:c>
      <x:c r="I23" s="18" t="n">
        <x:f>COUNT(C23:H23)/6</x:f>
        <x:v>0</x:v>
      </x:c>
      <x:c r="J23" s="20" t="str">
        <x:f>IF(I23&lt;0.5,"",MAX(0,MIN(100,50+35*(C23-0.85)-25*(D23-0.20)+45*E23+30*F23-10*(G23-0.03)-20*(H23-0.15))))</x:f>
      </x:c>
      <x:c r="K23" s="20" t="n">
        <x:f>MODEL_PARAMETERS!$B$6</x:f>
        <x:v>1.35</x:v>
      </x:c>
      <x:c r="L23" s="20" t="str">
        <x:f>IF(J23="","",MAX(0,MIN(100,J23*K23)))</x:f>
      </x:c>
      <x:c r="M23" s="22" t="str">
        <x:f>IF(L23="","",MODEL_PARAMETERS!$B$7*(L23/100))</x:f>
      </x:c>
      <x:c r="N23" s="18" t="str">
        <x:f>IF(G23="","",MAX(0,G23-M23/100))</x:f>
      </x:c>
      <x:c r="O23" t="str">
        <x:f>IF(L23="","",IF(OR(L23&gt;=MODEL_PARAMETERS!$B$8,N23&lt;0.02),"RED",IF(L23&gt;=MODEL_PARAMETERS!$B$9,"AMBER","GREEN")))</x:f>
      </x:c>
      <x:c r="P23" t="str">
        <x:v>CALC</x:v>
      </x:c>
    </x:row>
  </x:sheetData>
  <x:mergeCells>
    <x:mergeCell ref="A1:P1"/>
  </x:mergeCells>
  <x:conditionalFormatting sqref="J4:L2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18" hidden="0" customWidth="1"/>
    <x:col min="5" max="5" width="28" hidden="0" customWidth="1"/>
    <x:col min="6" max="6" width="42" hidden="0" customWidth="1"/>
  </x:cols>
  <x:sheetData>
    <x:row r="1" ht="28" customHeight="1">
      <x:c r="A1" s="4" t="str">
        <x:v>V6 MODEL PARAMETERS</x:v>
      </x:c>
      <x:c r="B1" s="4"/>
      <x:c r="C1" s="4"/>
      <x:c r="D1" s="4"/>
      <x:c r="E1" s="4"/>
      <x:c r="F1" s="4"/>
    </x:row>
    <x:row r="3">
      <x:c r="A3" s="10" t="str">
        <x:v>Parameter</x:v>
      </x:c>
      <x:c r="B3" s="10" t="str">
        <x:v>Value</x:v>
      </x:c>
      <x:c r="C3" s="10" t="str">
        <x:v>Unit</x:v>
      </x:c>
      <x:c r="D3" s="10" t="str">
        <x:v>Type</x:v>
      </x:c>
      <x:c r="E3" s="10" t="str">
        <x:v>Purpose</x:v>
      </x:c>
      <x:c r="F3" s="10" t="str">
        <x:v>Notes</x:v>
      </x:c>
    </x:row>
    <x:row r="4">
      <x:c r="A4" t="str">
        <x:v>Base System LPI</x:v>
      </x:c>
      <x:c r="B4" s="26" t="n">
        <x:v>0</x:v>
      </x:c>
      <x:c r="C4" t="str">
        <x:v>z</x:v>
      </x:c>
      <x:c r="D4" t="str">
        <x:v>ASSUMPTION</x:v>
      </x:c>
      <x:c r="E4" t="str">
        <x:v>Current system stress state</x:v>
      </x:c>
      <x:c r="F4" t="str">
        <x:v>Can be linked to daily model</x:v>
      </x:c>
    </x:row>
    <x:row r="5">
      <x:c r="A5" t="str">
        <x:v>Stress LPI</x:v>
      </x:c>
      <x:c r="B5" s="26" t="n">
        <x:v>1.5</x:v>
      </x:c>
      <x:c r="C5" t="str">
        <x:v>z</x:v>
      </x:c>
      <x:c r="D5" t="str">
        <x:v>ASSUMPTION</x:v>
      </x:c>
      <x:c r="E5" t="str">
        <x:v>Scenario stress</x:v>
      </x:c>
      <x:c r="F5" t="str"/>
    </x:row>
    <x:row r="6">
      <x:c r="A6" t="str">
        <x:v>System Stress Multiplier</x:v>
      </x:c>
      <x:c r="B6" s="26" t="n">
        <x:v>1.35</x:v>
      </x:c>
      <x:c r="C6" t="str">
        <x:v>x</x:v>
      </x:c>
      <x:c r="D6" t="str">
        <x:v>ASSUMPTION</x:v>
      </x:c>
      <x:c r="E6" t="str">
        <x:v>Scale base vulnerability</x:v>
      </x:c>
      <x:c r="F6" t="str">
        <x:v>1 + stress beta</x:v>
      </x:c>
    </x:row>
    <x:row r="7">
      <x:c r="A7" t="str">
        <x:v>Max Funding Cost Pass-through</x:v>
      </x:c>
      <x:c r="B7" s="26" t="n">
        <x:v>2</x:v>
      </x:c>
      <x:c r="C7" t="str">
        <x:v>ppt</x:v>
      </x:c>
      <x:c r="D7" t="str">
        <x:v>ASSUMPTION</x:v>
      </x:c>
      <x:c r="E7" t="str">
        <x:v>Funding cost shock</x:v>
      </x:c>
      <x:c r="F7" t="str">
        <x:v>At vulnerability=100</x:v>
      </x:c>
    </x:row>
    <x:row r="8">
      <x:c r="A8" t="str">
        <x:v>Red Watch Threshold</x:v>
      </x:c>
      <x:c r="B8" s="26" t="n">
        <x:v>75</x:v>
      </x:c>
      <x:c r="C8" t="str">
        <x:v>score</x:v>
      </x:c>
      <x:c r="D8" t="str">
        <x:v>ASSUMPTION</x:v>
      </x:c>
      <x:c r="E8" t="str">
        <x:v>Watch flag</x:v>
      </x:c>
      <x:c r="F8" t="str"/>
    </x:row>
    <x:row r="9">
      <x:c r="A9" t="str">
        <x:v>Amber Threshold</x:v>
      </x:c>
      <x:c r="B9" s="26" t="n">
        <x:v>60</x:v>
      </x:c>
      <x:c r="C9" t="str">
        <x:v>score</x:v>
      </x:c>
      <x:c r="D9" t="str">
        <x:v>ASSUMPTION</x:v>
      </x:c>
      <x:c r="E9" t="str">
        <x:v>Watch flag</x:v>
      </x:c>
      <x:c r="F9" t="str"/>
    </x:row>
    <x:row r="10">
      <x:c r="A10" t="str">
        <x:v>Min Data Coverage</x:v>
      </x:c>
      <x:c r="B10" s="26" t="n">
        <x:v>0.5</x:v>
      </x:c>
      <x:c r="C10" t="str">
        <x:v>%</x:v>
      </x:c>
      <x:c r="D10" t="str">
        <x:v>ASSUMPTION</x:v>
      </x:c>
      <x:c r="E10" t="str">
        <x:v>Production gate</x:v>
      </x:c>
      <x:c r="F10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20" hidden="0" customWidth="1"/>
    <x:col min="6" max="6" width="20" hidden="0" customWidth="1"/>
    <x:col min="7" max="7" width="42" hidden="0" customWidth="1"/>
    <x:col min="8" max="8" width="18" hidden="0" customWidth="1"/>
  </x:cols>
  <x:sheetData>
    <x:row r="1" ht="28" customHeight="1">
      <x:c r="A1" s="4" t="str">
        <x:v>SYSTEM LIQUIDITY STRESS SCENARIOS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Scenario</x:v>
      </x:c>
      <x:c r="B3" s="10" t="str">
        <x:v>LPI Shock</x:v>
      </x:c>
      <x:c r="C3" s="10" t="str">
        <x:v>ON +ppt</x:v>
      </x:c>
      <x:c r="D3" s="10" t="str">
        <x:v>FX Pressure z</x:v>
      </x:c>
      <x:c r="E3" s="10" t="str">
        <x:v>OMO Shock VND bn</x:v>
      </x:c>
      <x:c r="F3" s="10" t="str">
        <x:v>Funding Multiplier</x:v>
      </x:c>
      <x:c r="G3" s="10" t="str">
        <x:v>Description</x:v>
      </x:c>
      <x:c r="H3" s="10" t="str">
        <x:v>Type</x:v>
      </x:c>
    </x:row>
    <x:row r="4">
      <x:c r="A4" t="str">
        <x:v>Base</x:v>
      </x:c>
      <x:c r="B4" s="26" t="n">
        <x:v>0</x:v>
      </x:c>
      <x:c r="C4" s="26" t="n">
        <x:v>0</x:v>
      </x:c>
      <x:c r="D4" s="26" t="n">
        <x:v>0</x:v>
      </x:c>
      <x:c r="E4" s="26" t="n">
        <x:v>0</x:v>
      </x:c>
      <x:c r="F4" s="26" t="n">
        <x:v>1</x:v>
      </x:c>
      <x:c r="G4" t="str">
        <x:v>Current/neutral environment</x:v>
      </x:c>
      <x:c r="H4" t="str">
        <x:v>ASSUMPTION</x:v>
      </x:c>
    </x:row>
    <x:row r="5">
      <x:c r="A5" t="str">
        <x:v>Moderate Tightening</x:v>
      </x:c>
      <x:c r="B5" s="26" t="n">
        <x:v>1</x:v>
      </x:c>
      <x:c r="C5" s="26" t="n">
        <x:v>1</x:v>
      </x:c>
      <x:c r="D5" s="26" t="n">
        <x:v>1</x:v>
      </x:c>
      <x:c r="E5" s="26" t="n">
        <x:v>-50000</x:v>
      </x:c>
      <x:c r="F5" s="26" t="n">
        <x:v>1.2</x:v>
      </x:c>
      <x:c r="G5" t="str">
        <x:v>Moderate liquidity tightening</x:v>
      </x:c>
      <x:c r="H5" t="str">
        <x:v>ASSUMPTION</x:v>
      </x:c>
    </x:row>
    <x:row r="6">
      <x:c r="A6" t="str">
        <x:v>FX Defense</x:v>
      </x:c>
      <x:c r="B6" s="26" t="n">
        <x:v>1.5</x:v>
      </x:c>
      <x:c r="C6" s="26" t="n">
        <x:v>1.5</x:v>
      </x:c>
      <x:c r="D6" s="26" t="n">
        <x:v>2</x:v>
      </x:c>
      <x:c r="E6" s="26" t="n">
        <x:v>-100000</x:v>
      </x:c>
      <x:c r="F6" s="26" t="n">
        <x:v>1.35</x:v>
      </x:c>
      <x:c r="G6" t="str">
        <x:v>FX pressure + liquidity withdrawal</x:v>
      </x:c>
      <x:c r="H6" t="str">
        <x:v>ASSUMPTION</x:v>
      </x:c>
    </x:row>
    <x:row r="7">
      <x:c r="A7" t="str">
        <x:v>Quarter-end Stress</x:v>
      </x:c>
      <x:c r="B7" s="26" t="n">
        <x:v>1.2</x:v>
      </x:c>
      <x:c r="C7" s="26" t="n">
        <x:v>1.8</x:v>
      </x:c>
      <x:c r="D7" s="26" t="n">
        <x:v>0.5</x:v>
      </x:c>
      <x:c r="E7" s="26" t="n">
        <x:v>-80000</x:v>
      </x:c>
      <x:c r="F7" s="26" t="n">
        <x:v>1.3</x:v>
      </x:c>
      <x:c r="G7" t="str">
        <x:v>Quarter-end funding pressure</x:v>
      </x:c>
      <x:c r="H7" t="str">
        <x:v>ASSUMPTION</x:v>
      </x:c>
    </x:row>
    <x:row r="8">
      <x:c r="A8" t="str">
        <x:v>Severe Combined</x:v>
      </x:c>
      <x:c r="B8" s="26" t="n">
        <x:v>2.5</x:v>
      </x:c>
      <x:c r="C8" s="26" t="n">
        <x:v>3</x:v>
      </x:c>
      <x:c r="D8" s="26" t="n">
        <x:v>2.5</x:v>
      </x:c>
      <x:c r="E8" s="26" t="n">
        <x:v>-180000</x:v>
      </x:c>
      <x:c r="F8" s="26" t="n">
        <x:v>1.65</x:v>
      </x:c>
      <x:c r="G8" t="str">
        <x:v>FX + OMO + funding stress</x:v>
      </x:c>
      <x:c r="H8" t="str">
        <x:v>ASSUMPTION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8" hidden="0" customWidth="1"/>
    <x:col min="4" max="4" width="32" hidden="0" customWidth="1"/>
  </x:cols>
  <x:sheetData>
    <x:row r="1" ht="28" customHeight="1">
      <x:c r="A1" s="4" t="str">
        <x:v>V6 — SYSTEM-TO-BANK LIQUIDITY STRESS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9" t="str">
        <x:v>SYSTEM STRESS SETTINGS</x:v>
      </x:c>
      <x:c r="B3" s="9"/>
      <x:c r="C3" s="9"/>
      <x:c r="D3" s="9"/>
    </x:row>
    <x:row r="4">
      <x:c r="A4" t="str">
        <x:v>System LPI Stress</x:v>
      </x:c>
      <x:c r="B4" t="n">
        <x:v>1.5</x:v>
      </x:c>
      <x:c r="C4" t="str">
        <x:v>z</x:v>
      </x:c>
      <x:c r="D4" t="str">
        <x:v>ASSUMPTION</x:v>
      </x:c>
    </x:row>
    <x:row r="5">
      <x:c r="A5" t="str">
        <x:v>ON Shock</x:v>
      </x:c>
      <x:c r="B5" t="n">
        <x:v>1.5</x:v>
      </x:c>
      <x:c r="C5" t="str">
        <x:v>ppt</x:v>
      </x:c>
      <x:c r="D5" t="str">
        <x:v>ASSUMPTION</x:v>
      </x:c>
    </x:row>
    <x:row r="6">
      <x:c r="A6" t="str">
        <x:v>FX Pressure</x:v>
      </x:c>
      <x:c r="B6" t="n">
        <x:v>2</x:v>
      </x:c>
      <x:c r="C6" t="str">
        <x:v>z</x:v>
      </x:c>
      <x:c r="D6" t="str">
        <x:v>ASSUMPTION</x:v>
      </x:c>
    </x:row>
    <x:row r="7">
      <x:c r="A7" t="str">
        <x:v>Funding Multiplier</x:v>
      </x:c>
      <x:c r="B7" t="n">
        <x:v>1.35</x:v>
      </x:c>
      <x:c r="C7" t="str">
        <x:v>x</x:v>
      </x:c>
      <x:c r="D7" t="str">
        <x:v>ASSUMPTION</x:v>
      </x:c>
    </x:row>
    <x:row r="8">
      <x:c r="A8" t="str">
        <x:v>Bank universe</x:v>
      </x:c>
      <x:c r="B8" t="n">
        <x:v>20</x:v>
      </x:c>
      <x:c r="C8" t="str">
        <x:v>banks</x:v>
      </x:c>
      <x:c r="D8" t="str">
        <x:v>ACTUAL</x:v>
      </x:c>
    </x:row>
    <x:row r="10">
      <x:c r="A10" s="9" t="str">
        <x:v>INTERPRETATION</x:v>
      </x:c>
      <x:c r="B10" s="9"/>
      <x:c r="C10" s="9"/>
      <x:c r="D10" s="9"/>
    </x:row>
    <x:row r="11">
      <x:c r="A11" s="10" t="str">
        <x:v>Metric</x:v>
      </x:c>
      <x:c r="B11" s="10" t="str">
        <x:v>Meaning</x:v>
      </x:c>
      <x:c r="C11" s="10" t="str">
        <x:v>Higher means</x:v>
      </x:c>
      <x:c r="D11" s="10" t="str">
        <x:v>Use</x:v>
      </x:c>
    </x:row>
    <x:row r="12">
      <x:c r="A12" t="str">
        <x:v>Base Vulnerability</x:v>
      </x:c>
      <x:c r="B12" t="str">
        <x:v>Structural bank funding risk</x:v>
      </x:c>
      <x:c r="C12" t="str">
        <x:v>More vulnerable</x:v>
      </x:c>
      <x:c r="D12" t="str">
        <x:v>Cross-bank comparison</x:v>
      </x:c>
    </x:row>
    <x:row r="13">
      <x:c r="A13" t="str">
        <x:v>Stress Vulnerability</x:v>
      </x:c>
      <x:c r="B13" t="str">
        <x:v>Risk after system shock</x:v>
      </x:c>
      <x:c r="C13" t="str">
        <x:v>Higher stress sensitivity</x:v>
      </x:c>
      <x:c r="D13" t="str">
        <x:v>Stress ranking</x:v>
      </x:c>
    </x:row>
    <x:row r="14">
      <x:c r="A14" t="str">
        <x:v>Funding Cost +ppt</x:v>
      </x:c>
      <x:c r="B14" t="str">
        <x:v>Estimated pass-through</x:v>
      </x:c>
      <x:c r="C14" t="str">
        <x:v>Higher cost pressure</x:v>
      </x:c>
      <x:c r="D14" t="str">
        <x:v>NIM stress</x:v>
      </x:c>
    </x:row>
    <x:row r="15">
      <x:c r="A15" t="str">
        <x:v>Watch Flag</x:v>
      </x:c>
      <x:c r="B15" t="str">
        <x:v>GREEN/AMBER/RED</x:v>
      </x:c>
      <x:c r="C15" t="str">
        <x:v>Higher monitoring priority</x:v>
      </x:c>
      <x:c r="D15" t="str">
        <x:v>Rating/watchlist</x:v>
      </x:c>
    </x:row>
  </x:sheetData>
  <x:mergeCells>
    <x:mergeCell ref="A1:L1"/>
    <x:mergeCell ref="A3:D3"/>
    <x:mergeCell ref="A10:D10"/>
  </x:mergeCells>
  <x:pageMargins left="0.7" right="0.7" top="0.75" bottom="0.75" header="0.3" footer="0.3"/>
  <x:drawing xmlns:r="http://schemas.openxmlformats.org/officeDocument/2006/relationships" r:id="R67a7cf6cf9664cc7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6" hidden="0" customWidth="1"/>
    <x:col min="5" max="5" width="60" hidden="0" customWidth="1"/>
    <x:col min="6" max="6" width="34" hidden="0" customWidth="1"/>
    <x:col min="7" max="7" width="12" hidden="0" customWidth="1"/>
    <x:col min="8" max="8" width="16" hidden="0" customWidth="1"/>
  </x:cols>
  <x:sheetData>
    <x:row r="1" ht="28" customHeight="1">
      <x:c r="A1" s="14" t="str">
        <x:v>DATA SOURCES</x:v>
      </x:c>
      <x:c r="B1" s="14"/>
      <x:c r="C1" s="14"/>
      <x:c r="D1" s="14"/>
      <x:c r="E1" s="14"/>
      <x:c r="F1" s="14"/>
      <x:c r="G1" s="14"/>
      <x:c r="H1" s="14"/>
    </x:row>
    <x:row r="3">
      <x:c r="A3" s="10" t="str">
        <x:v>Source</x:v>
      </x:c>
      <x:c r="B3" s="10" t="str">
        <x:v>Dataset</x:v>
      </x:c>
      <x:c r="C3" s="10" t="str">
        <x:v>Use</x:v>
      </x:c>
      <x:c r="D3" s="10" t="str">
        <x:v>Type</x:v>
      </x:c>
      <x:c r="E3" s="10" t="str">
        <x:v>URL</x:v>
      </x:c>
      <x:c r="F3" s="10" t="str">
        <x:v>Notes</x:v>
      </x:c>
      <x:c r="G3" s="10" t="str">
        <x:v>Priority</x:v>
      </x:c>
      <x:c r="H3" s="10" t="str">
        <x:v>Status</x:v>
      </x:c>
    </x:row>
    <x:row r="4">
      <x:c r="A4" t="str">
        <x:v>Vnstock Fundamental</x:v>
      </x:c>
      <x:c r="B4" t="str">
        <x:v>Bank B/S, Income, Ratios</x:v>
      </x:c>
      <x:c r="C4" t="str">
        <x:v>Bank overlay</x:v>
      </x:c>
      <x:c r="D4" t="str">
        <x:v>ACTUAL</x:v>
      </x:c>
      <x:c r="E4" t="str">
        <x:v>https://vnstocks.com/docs/vnstock-data/cau-truc-du-lieu/fundamental</x:v>
      </x:c>
      <x:c r="F4" t="str">
        <x:v>Primary bank data</x:v>
      </x:c>
      <x:c r="G4" t="str">
        <x:v>1</x:v>
      </x:c>
      <x:c r="H4" t="str">
        <x:v>AUTO</x:v>
      </x:c>
    </x:row>
    <x:row r="5">
      <x:c r="A5" t="str">
        <x:v>Vnstock Fundamental V3</x:v>
      </x:c>
      <x:c r="B5" t="str">
        <x:v>Balance sheet / ratios</x:v>
      </x:c>
      <x:c r="C5" t="str">
        <x:v>Bank overlay</x:v>
      </x:c>
      <x:c r="D5" t="str">
        <x:v>ACTUAL</x:v>
      </x:c>
      <x:c r="E5" t="str">
        <x:v>https://vnstocks.com/docs/vnstock-data/fundamental-layer-v3</x:v>
      </x:c>
      <x:c r="F5" t="str">
        <x:v>Quarterly/yearly</x:v>
      </x:c>
      <x:c r="G5" t="str">
        <x:v>1</x:v>
      </x:c>
      <x:c r="H5" t="str">
        <x:v>AUTO</x:v>
      </x:c>
    </x:row>
    <x:row r="6">
      <x:c r="A6" t="str">
        <x:v>Vnstock Macro</x:v>
      </x:c>
      <x:c r="B6" t="str">
        <x:v>OMO/interbank/FX</x:v>
      </x:c>
      <x:c r="C6" t="str">
        <x:v>System liquidity</x:v>
      </x:c>
      <x:c r="D6" t="str">
        <x:v>ACTUAL</x:v>
      </x:c>
      <x:c r="E6" t="str">
        <x:v>https://vnstocks.com/docs/vnstock-data/macro-layer-v3</x:v>
      </x:c>
      <x:c r="F6" t="str">
        <x:v>Primary macro data</x:v>
      </x:c>
      <x:c r="G6" t="str">
        <x:v>1</x:v>
      </x:c>
      <x:c r="H6" t="str">
        <x:v>AUTO</x:v>
      </x:c>
    </x:row>
    <x:row r="7">
      <x:c r="A7" t="str">
        <x:v>NSO</x:v>
      </x:c>
      <x:c r="B7" t="str">
        <x:v>CPI/GDP/trade</x:v>
      </x:c>
      <x:c r="C7" t="str">
        <x:v>Macro fallback</x:v>
      </x:c>
      <x:c r="D7" t="str">
        <x:v>ACTUAL</x:v>
      </x:c>
      <x:c r="E7" t="str">
        <x:v>https://www.nso.gov.vn/</x:v>
      </x:c>
      <x:c r="F7" t="str">
        <x:v>Official source</x:v>
      </x:c>
      <x:c r="G7" t="str">
        <x:v>2</x:v>
      </x:c>
      <x:c r="H7" t="str">
        <x:v>MANUAL/AUTO</x:v>
      </x:c>
    </x:row>
  </x:sheetData>
  <x:mergeCells>
    <x:mergeCell ref="A1:H1"/>
  </x:mergeCells>
  <x:pageMargins left="0.7" right="0.7" top="0.75" bottom="0.75" header="0.3" footer="0.3"/>
</x:worksheet>
</file>